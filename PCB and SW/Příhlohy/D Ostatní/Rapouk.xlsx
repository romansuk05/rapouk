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oman Suk\Documents\Rapouk\Dlouhodobá maturitní práce\Final\Příhlohy\D Ostatní\final\"/>
    </mc:Choice>
  </mc:AlternateContent>
  <xr:revisionPtr revIDLastSave="0" documentId="8_{A7DB604D-BD15-4A83-A955-4A1BBB75C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Čas" sheetId="1" r:id="rId1"/>
    <sheet name="Součástky" sheetId="11" r:id="rId2"/>
    <sheet name="Finance" sheetId="5" r:id="rId3"/>
    <sheet name="Materiály" sheetId="2" r:id="rId4"/>
    <sheet name="Ohyb" sheetId="3" r:id="rId5"/>
    <sheet name="Step per" sheetId="4" r:id="rId6"/>
    <sheet name="Řezné podmínky" sheetId="6" r:id="rId7"/>
    <sheet name="Odpor" sheetId="7" r:id="rId8"/>
    <sheet name="Výdrž baterie" sheetId="8" r:id="rId9"/>
    <sheet name="Voltmetr" sheetId="9" r:id="rId10"/>
    <sheet name="Křivky" sheetId="10" r:id="rId11"/>
    <sheet name="List1" sheetId="12" r:id="rId12"/>
  </sheets>
  <definedNames>
    <definedName name="_xlnm._FilterDatabase" localSheetId="0" hidden="1">Čas!$A$1:$G$103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B185" i="1"/>
  <c r="F187" i="1"/>
  <c r="B190" i="1"/>
  <c r="J37" i="11"/>
  <c r="J4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41" i="11"/>
  <c r="J21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8" i="11"/>
  <c r="J39" i="11"/>
  <c r="J22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3" i="11"/>
  <c r="E59" i="11"/>
  <c r="B188" i="1"/>
  <c r="B8" i="10"/>
  <c r="C8" i="10"/>
  <c r="B9" i="10"/>
  <c r="B7" i="10"/>
  <c r="B6" i="10"/>
  <c r="C6" i="10"/>
  <c r="B5" i="10"/>
  <c r="C5" i="10"/>
  <c r="B4" i="10"/>
  <c r="C4" i="10"/>
  <c r="C9" i="10"/>
  <c r="B3" i="10"/>
  <c r="C3" i="10"/>
  <c r="B2" i="10"/>
  <c r="C2" i="10"/>
  <c r="C7" i="10"/>
  <c r="C13" i="3"/>
  <c r="C11" i="3"/>
  <c r="C12" i="3"/>
  <c r="C1" i="9"/>
  <c r="B4" i="4"/>
  <c r="C10" i="3"/>
  <c r="C14" i="3"/>
  <c r="C7" i="8"/>
  <c r="C6" i="8"/>
  <c r="E16" i="5"/>
  <c r="C8" i="7"/>
  <c r="C7" i="7"/>
  <c r="C6" i="7"/>
  <c r="B6" i="5"/>
  <c r="B16" i="5"/>
  <c r="C8" i="6"/>
  <c r="C9" i="6"/>
  <c r="C7" i="6"/>
  <c r="C9" i="7"/>
  <c r="C10" i="7"/>
  <c r="J59" i="11"/>
  <c r="J60" i="11"/>
  <c r="B187" i="1" l="1"/>
  <c r="F188" i="1" s="1"/>
  <c r="B18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Suk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Roman Suk: 
3,175mm o délce břitu 12mm, hliník. Cena i s dopravou
https://1url.cz/quwBw</t>
        </r>
      </text>
    </comment>
    <comment ref="B9" authorId="0" shapeId="0" xr:uid="{86171F62-3188-40C5-BC0D-0E18B90F0BC4}">
      <text>
        <r>
          <rPr>
            <b/>
            <sz val="9"/>
            <color indexed="81"/>
            <rFont val="Tahoma"/>
            <charset val="1"/>
          </rPr>
          <t>Roman Suk:</t>
        </r>
        <r>
          <rPr>
            <sz val="9"/>
            <color indexed="81"/>
            <rFont val="Tahoma"/>
            <charset val="1"/>
          </rPr>
          <t xml:space="preserve">
136Kč bez slevy
</t>
        </r>
      </text>
    </comment>
    <comment ref="D16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Roman Suk:</t>
        </r>
        <r>
          <rPr>
            <sz val="9"/>
            <color indexed="81"/>
            <rFont val="Tahoma"/>
            <charset val="1"/>
          </rPr>
          <t xml:space="preserve">
Bez: 
CNC frézky samotné
Notebooku
Elektřiny
Využití ostatních strojů (soustruh, svářečka, apod)
Prostorů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Suk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Roman Suk:
Roman:
3D tisk = cena/kg
Hliník + Ocel = cena/1000*2000-5mm
Titanzinek = cena/1000*500-5mm
Nerezová ocel = cena/500*500-5mm
Ceny k 26.7.2023</t>
        </r>
      </text>
    </comment>
  </commentList>
</comments>
</file>

<file path=xl/sharedStrings.xml><?xml version="1.0" encoding="utf-8"?>
<sst xmlns="http://schemas.openxmlformats.org/spreadsheetml/2006/main" count="977" uniqueCount="536">
  <si>
    <t>Čas projektu</t>
  </si>
  <si>
    <t>Teoretická/PC část</t>
  </si>
  <si>
    <t>Praktická část</t>
  </si>
  <si>
    <t>Zadání</t>
  </si>
  <si>
    <t>Čas (h)</t>
  </si>
  <si>
    <t>Datum</t>
  </si>
  <si>
    <t>Návrh baterie a komponentů</t>
  </si>
  <si>
    <t>Tisk</t>
  </si>
  <si>
    <t>Počítání napětí (ohyb)</t>
  </si>
  <si>
    <t>Schéma</t>
  </si>
  <si>
    <t>Testování modelů</t>
  </si>
  <si>
    <t>Eagle</t>
  </si>
  <si>
    <t>Skládání</t>
  </si>
  <si>
    <t>SW</t>
  </si>
  <si>
    <t>Příprava a hledání materiálu</t>
  </si>
  <si>
    <t>Tvorba základu</t>
  </si>
  <si>
    <t>Příprava CNC frézy</t>
  </si>
  <si>
    <t>Zkouška DOSu</t>
  </si>
  <si>
    <t>Modelování</t>
  </si>
  <si>
    <t>Tisk spojky</t>
  </si>
  <si>
    <t>Oprava motorů na CNC</t>
  </si>
  <si>
    <t>Modelování základu</t>
  </si>
  <si>
    <t>Čištění</t>
  </si>
  <si>
    <t xml:space="preserve">Modelování </t>
  </si>
  <si>
    <t>První zkouška</t>
  </si>
  <si>
    <t>Řešení chyb</t>
  </si>
  <si>
    <t>Zkouška zákl. desek a nastavení</t>
  </si>
  <si>
    <t>Tvorba spojky</t>
  </si>
  <si>
    <t>Rozpohybování os</t>
  </si>
  <si>
    <t>Nastavování Mach3</t>
  </si>
  <si>
    <t>Sestavání sestavy PC</t>
  </si>
  <si>
    <t>Vylepšení</t>
  </si>
  <si>
    <t>Instalace DOSu</t>
  </si>
  <si>
    <t>Instalace DOSu + komponenty</t>
  </si>
  <si>
    <t>Promazávání a zkoušky</t>
  </si>
  <si>
    <t>Kabeláž k vřetenu</t>
  </si>
  <si>
    <t>Tvorba schéma</t>
  </si>
  <si>
    <t>Předělávání vozíku</t>
  </si>
  <si>
    <t>Tisk krytky na zdroj</t>
  </si>
  <si>
    <t>Zkompletování</t>
  </si>
  <si>
    <t>Příprava na frézování</t>
  </si>
  <si>
    <t>Modelování přípravku</t>
  </si>
  <si>
    <t>První frézování</t>
  </si>
  <si>
    <t>Frézování</t>
  </si>
  <si>
    <t>Převod schéma do PC</t>
  </si>
  <si>
    <t>Ladění chyb</t>
  </si>
  <si>
    <t>Technická dokumentace</t>
  </si>
  <si>
    <t>Sestava</t>
  </si>
  <si>
    <t>Sary v tech. doku.</t>
  </si>
  <si>
    <t>Náuka svařování</t>
  </si>
  <si>
    <t>Sestava a TTD</t>
  </si>
  <si>
    <t>Tvorba videa</t>
  </si>
  <si>
    <t>TTD</t>
  </si>
  <si>
    <t>Ladění chyb/frézování</t>
  </si>
  <si>
    <t xml:space="preserve">Čistění </t>
  </si>
  <si>
    <t>Zaoblení hran</t>
  </si>
  <si>
    <t>Skládání a testování</t>
  </si>
  <si>
    <t>Příprava na prezentaci</t>
  </si>
  <si>
    <t>Stůl na sváření</t>
  </si>
  <si>
    <t>Svařování</t>
  </si>
  <si>
    <t>Svařování a broušení</t>
  </si>
  <si>
    <t>Vrtání a tvorba závitů</t>
  </si>
  <si>
    <t>Testování schéma</t>
  </si>
  <si>
    <t>Broušení</t>
  </si>
  <si>
    <t xml:space="preserve">Broušení </t>
  </si>
  <si>
    <t>Natáčení</t>
  </si>
  <si>
    <t>Skládání konstrukce</t>
  </si>
  <si>
    <t>Vrtání</t>
  </si>
  <si>
    <t xml:space="preserve">Nastavování servomotorů </t>
  </si>
  <si>
    <t>Hledání chyb v konstrukci</t>
  </si>
  <si>
    <t>Tvorba PCB</t>
  </si>
  <si>
    <t>Test a programování</t>
  </si>
  <si>
    <t>Finální test rapoukTestBoardv0</t>
  </si>
  <si>
    <t>Měření</t>
  </si>
  <si>
    <t>Úprava a příprava PCB</t>
  </si>
  <si>
    <t>Testování PCB</t>
  </si>
  <si>
    <t>Oprava PCB</t>
  </si>
  <si>
    <t>Testování nabíjení</t>
  </si>
  <si>
    <t>Dorozumívání se s čínským datasheetem</t>
  </si>
  <si>
    <t>Rychlonabíjení</t>
  </si>
  <si>
    <t>Bezdrátové nabíjení</t>
  </si>
  <si>
    <t>VSCode</t>
  </si>
  <si>
    <t>Web</t>
  </si>
  <si>
    <t>AI</t>
  </si>
  <si>
    <t>Webová stránka</t>
  </si>
  <si>
    <t>Obrábění formy</t>
  </si>
  <si>
    <t>Výroba PCB žehličky</t>
  </si>
  <si>
    <t>Tranzistorový spínač</t>
  </si>
  <si>
    <t>Testování SW</t>
  </si>
  <si>
    <t xml:space="preserve">SW </t>
  </si>
  <si>
    <t>Modelování a PCB</t>
  </si>
  <si>
    <t>Modelování formy</t>
  </si>
  <si>
    <t>Měření LED</t>
  </si>
  <si>
    <t>CAM</t>
  </si>
  <si>
    <t>Součet hodin</t>
  </si>
  <si>
    <t>Celkově</t>
  </si>
  <si>
    <t>Počet hodin ročníkové práce</t>
  </si>
  <si>
    <t>Počet dní</t>
  </si>
  <si>
    <t>Počet hodin dlouhodobé práce</t>
  </si>
  <si>
    <t>Průměrný počet hodin denně</t>
  </si>
  <si>
    <t>Den ukončení práce</t>
  </si>
  <si>
    <t>Pr. počet hodin v prac. dnu</t>
  </si>
  <si>
    <t>ID</t>
  </si>
  <si>
    <t>Name</t>
  </si>
  <si>
    <t>Designator</t>
  </si>
  <si>
    <t>Footprint</t>
  </si>
  <si>
    <t>Q</t>
  </si>
  <si>
    <t>Manufacturer Part</t>
  </si>
  <si>
    <t>Manufacturer</t>
  </si>
  <si>
    <t>Supplier</t>
  </si>
  <si>
    <t>Supplier Part</t>
  </si>
  <si>
    <t>Price</t>
  </si>
  <si>
    <t>Pins</t>
  </si>
  <si>
    <t>Contributor</t>
  </si>
  <si>
    <t>JLCPCB Part Class</t>
  </si>
  <si>
    <t>Package Display</t>
  </si>
  <si>
    <t>link</t>
  </si>
  <si>
    <t>subpart_no</t>
  </si>
  <si>
    <t>T-DEAN</t>
  </si>
  <si>
    <t>BT1</t>
  </si>
  <si>
    <t>T_DEAN</t>
  </si>
  <si>
    <t>michalklis</t>
  </si>
  <si>
    <t>470nF</t>
  </si>
  <si>
    <t>C1</t>
  </si>
  <si>
    <t>C1206</t>
  </si>
  <si>
    <t>TCC1206X7R474K500FT</t>
  </si>
  <si>
    <t>CCTC(三环)</t>
  </si>
  <si>
    <t>LCSC</t>
  </si>
  <si>
    <t>C282872</t>
  </si>
  <si>
    <t>Extended Part</t>
  </si>
  <si>
    <t>10uF</t>
  </si>
  <si>
    <t>C2,C3,C4,C5,C6,C7,C12,C13,C16,C18,C22,C25</t>
  </si>
  <si>
    <t>TCC1206X7R106K250HT</t>
  </si>
  <si>
    <t>C380364</t>
  </si>
  <si>
    <t>3.3nF</t>
  </si>
  <si>
    <t>C8</t>
  </si>
  <si>
    <t>TCC1206X7R332K501DT</t>
  </si>
  <si>
    <t>C377096</t>
  </si>
  <si>
    <t>100nF</t>
  </si>
  <si>
    <t>C9,C11,C17,C19,C23,C24</t>
  </si>
  <si>
    <t>1206Y1000104KXR</t>
  </si>
  <si>
    <t>Knowles(楼氏)</t>
  </si>
  <si>
    <t>C2319128</t>
  </si>
  <si>
    <t>C10</t>
  </si>
  <si>
    <t>CAP-SMD_BD4.0-L4.3-W4.3-FD</t>
  </si>
  <si>
    <t>RST10UF16V013</t>
  </si>
  <si>
    <t>KNSCHA(科尼盛)</t>
  </si>
  <si>
    <t>C4747968</t>
  </si>
  <si>
    <t>lcsc</t>
  </si>
  <si>
    <t>33nF</t>
  </si>
  <si>
    <t>C14</t>
  </si>
  <si>
    <t>GRM31CR72E333KW03L</t>
  </si>
  <si>
    <t>muRata(村田)</t>
  </si>
  <si>
    <t>C97957</t>
  </si>
  <si>
    <t>10nF</t>
  </si>
  <si>
    <t>C15</t>
  </si>
  <si>
    <t>CC1206JKNPOZBN103</t>
  </si>
  <si>
    <t>YAGEO(国巨)</t>
  </si>
  <si>
    <t>C7500386</t>
  </si>
  <si>
    <t>22uF</t>
  </si>
  <si>
    <t>C20,C21</t>
  </si>
  <si>
    <t>CL31X226KQHNNNE</t>
  </si>
  <si>
    <t>SAMSUNG(三星)</t>
  </si>
  <si>
    <t>C444887</t>
  </si>
  <si>
    <t>PH-6P立贴</t>
  </si>
  <si>
    <t>CN1</t>
  </si>
  <si>
    <t>CONN-SMD_6P-P2.0-L14.0-W5.4</t>
  </si>
  <si>
    <t>BOOMELE(博穆精密)</t>
  </si>
  <si>
    <t>C64659</t>
  </si>
  <si>
    <t>XH2.54-2AB</t>
  </si>
  <si>
    <t>CN2</t>
  </si>
  <si>
    <t>CONN-SMD_2P-P2.54_XH2.54-2AB</t>
  </si>
  <si>
    <t>XH-2P立贴</t>
  </si>
  <si>
    <t>C146125</t>
  </si>
  <si>
    <t>XH2.54-3AB</t>
  </si>
  <si>
    <t>CN3</t>
  </si>
  <si>
    <t>CONN-SMD_3P-P2.54_XH2.54-3AB</t>
  </si>
  <si>
    <t>XH-3P立贴</t>
  </si>
  <si>
    <t>C146126</t>
  </si>
  <si>
    <t>PH2.0-2P</t>
  </si>
  <si>
    <t>CN4</t>
  </si>
  <si>
    <t>CONN-SMD_PH2.0-1X2PW</t>
  </si>
  <si>
    <t>PH-2P立贴</t>
  </si>
  <si>
    <t>C64658</t>
  </si>
  <si>
    <t>PH-4P立贴</t>
  </si>
  <si>
    <t>CN5</t>
  </si>
  <si>
    <t>CONN-SMD_PH2.0-4P</t>
  </si>
  <si>
    <t>C67258</t>
  </si>
  <si>
    <t>2.0-3P</t>
  </si>
  <si>
    <t>CN6</t>
  </si>
  <si>
    <t>CONN-SMD_3P-LT</t>
  </si>
  <si>
    <t>PH-3P立贴</t>
  </si>
  <si>
    <t>C146054</t>
  </si>
  <si>
    <t>SS54C</t>
  </si>
  <si>
    <t>D1,D5</t>
  </si>
  <si>
    <t>SMC_L7.5-W5.8-LS8.3-RD</t>
  </si>
  <si>
    <t>SS54</t>
  </si>
  <si>
    <t>LGE(鲁光)</t>
  </si>
  <si>
    <t>C330398</t>
  </si>
  <si>
    <t>SS34-A</t>
  </si>
  <si>
    <t>D2,D3,D4</t>
  </si>
  <si>
    <t>SMA_L4.3-W2.6-LS5.2-RD</t>
  </si>
  <si>
    <t>FMS(美丽微)</t>
  </si>
  <si>
    <t>C143201</t>
  </si>
  <si>
    <t>10uH</t>
  </si>
  <si>
    <t>L1</t>
  </si>
  <si>
    <t>IND-SMD_L7.3-W7.3</t>
  </si>
  <si>
    <t>CDRH74-100MT</t>
  </si>
  <si>
    <t>MetalLions(美铼)</t>
  </si>
  <si>
    <t>C53986</t>
  </si>
  <si>
    <t>SINC1313-470M L470 SMD</t>
  </si>
  <si>
    <t>L2</t>
  </si>
  <si>
    <t>SINC1313</t>
  </si>
  <si>
    <t>romansuk05</t>
  </si>
  <si>
    <t>No</t>
  </si>
  <si>
    <t>https://vi.aliexpress.com/item/1005006932666277.html?spm=a2g0o.productlist.main.1.240cENmjENmj9N&amp;algo_pvid=bf29db7b-fa88-44d8-ba6d-a49f370a463e&amp;algo_exp_id=bf29db7b-fa88-44d8-ba6d-a49f370a463e-0&amp;pdp_npi=4%40dis%21USD%215.23%214.60%21%21%2137.50%2133.00%21%40210313e917158827587508967e9ebd%2112000038772414878%21sea%21CZ%210%21AB&amp;curPageLogUid=HUxgkZ86eIhu&amp;utparam-url=scene%3Asearch%7Cquery_from%3A</t>
  </si>
  <si>
    <t>15uH</t>
  </si>
  <si>
    <t>L3</t>
  </si>
  <si>
    <t>IND-SMD_L10.2-W10.0</t>
  </si>
  <si>
    <t>CDRH105RNP-150NC</t>
  </si>
  <si>
    <t>Sumida(胜美达)</t>
  </si>
  <si>
    <t>C225029</t>
  </si>
  <si>
    <t>2.2uH</t>
  </si>
  <si>
    <t>L4</t>
  </si>
  <si>
    <t>IND-SMD_L10.5-W10.5</t>
  </si>
  <si>
    <t>CDRH105RNP-220NC</t>
  </si>
  <si>
    <t>C225030</t>
  </si>
  <si>
    <t>ŽLUTÁ</t>
  </si>
  <si>
    <t>LED1</t>
  </si>
  <si>
    <t>LED1206-R-RD_RED</t>
  </si>
  <si>
    <t>E6C1206URAC1UDA</t>
  </si>
  <si>
    <t>ekinglux(亿晶源)</t>
  </si>
  <si>
    <t>C375458</t>
  </si>
  <si>
    <t>ZELENÁ</t>
  </si>
  <si>
    <t>LED2</t>
  </si>
  <si>
    <t>ČERVENÁ</t>
  </si>
  <si>
    <t>LED3</t>
  </si>
  <si>
    <t>MODRÁ</t>
  </si>
  <si>
    <t>LED4</t>
  </si>
  <si>
    <t>1.2MΩ</t>
  </si>
  <si>
    <t>R1</t>
  </si>
  <si>
    <t>R0603</t>
  </si>
  <si>
    <t>RMC06031.2M1%N</t>
  </si>
  <si>
    <t>Tyohm(幸亚电阻)</t>
  </si>
  <si>
    <t>C325657</t>
  </si>
  <si>
    <t>3kΩ</t>
  </si>
  <si>
    <t>R2</t>
  </si>
  <si>
    <t>R1206</t>
  </si>
  <si>
    <t>CR1206J3K00P05Z</t>
  </si>
  <si>
    <t>EVER OHMS(天二科技)</t>
  </si>
  <si>
    <t>C881253</t>
  </si>
  <si>
    <t>15kΩ</t>
  </si>
  <si>
    <t>R3</t>
  </si>
  <si>
    <t>RT1206FRD0715KL</t>
  </si>
  <si>
    <t>C136874</t>
  </si>
  <si>
    <t>510Ω</t>
  </si>
  <si>
    <t>R4,R21</t>
  </si>
  <si>
    <t>AECR1206F510RK9</t>
  </si>
  <si>
    <t>RESI(开步睿思)</t>
  </si>
  <si>
    <t>C352061</t>
  </si>
  <si>
    <t>100Ω</t>
  </si>
  <si>
    <t>R5,R20</t>
  </si>
  <si>
    <t>SCR1206F100R</t>
  </si>
  <si>
    <t>VO(翔胜)</t>
  </si>
  <si>
    <t>C3017190</t>
  </si>
  <si>
    <t>10kΩ</t>
  </si>
  <si>
    <t>R6,R15,R16,R17,R29,R31</t>
  </si>
  <si>
    <t>SCR1206F10K</t>
  </si>
  <si>
    <t>C3017025</t>
  </si>
  <si>
    <t>20kΩ</t>
  </si>
  <si>
    <t>R7</t>
  </si>
  <si>
    <t>CR1206F20KP05</t>
  </si>
  <si>
    <t>C429423</t>
  </si>
  <si>
    <t>4.7kΩ</t>
  </si>
  <si>
    <t>R8</t>
  </si>
  <si>
    <t>CRCW12064K70FKEA</t>
  </si>
  <si>
    <t>VISHAY(威世)</t>
  </si>
  <si>
    <t>C242482</t>
  </si>
  <si>
    <t>6.34kΩ</t>
  </si>
  <si>
    <t>R9</t>
  </si>
  <si>
    <t>RS-06K6341FT</t>
  </si>
  <si>
    <t>FH(风华)</t>
  </si>
  <si>
    <t>C323116</t>
  </si>
  <si>
    <t>2kΩ</t>
  </si>
  <si>
    <t>R10</t>
  </si>
  <si>
    <t>RTT06202JTP</t>
  </si>
  <si>
    <t>RALEC(旺诠)</t>
  </si>
  <si>
    <t>C104689</t>
  </si>
  <si>
    <t>5.1kΩ</t>
  </si>
  <si>
    <t>R11,R12,R30</t>
  </si>
  <si>
    <t>HoARG0603-1/10W-5.1KR-0.1%-TCR25</t>
  </si>
  <si>
    <t>Milliohm(毫欧)</t>
  </si>
  <si>
    <t>C5123614</t>
  </si>
  <si>
    <t>100kΩ</t>
  </si>
  <si>
    <t>R13,R19</t>
  </si>
  <si>
    <t>QR1206F100KP05Z</t>
  </si>
  <si>
    <t>C176233</t>
  </si>
  <si>
    <t>6.8kΩ</t>
  </si>
  <si>
    <t>R14</t>
  </si>
  <si>
    <t>AC1206FR-076K8L</t>
  </si>
  <si>
    <t>C229771</t>
  </si>
  <si>
    <t>47kΩ</t>
  </si>
  <si>
    <t>R18</t>
  </si>
  <si>
    <t>CR1206J47KP05</t>
  </si>
  <si>
    <t>C429214</t>
  </si>
  <si>
    <t>470Ω</t>
  </si>
  <si>
    <t>R22,R32</t>
  </si>
  <si>
    <t>CRCW1206470RJNEA</t>
  </si>
  <si>
    <t>C844237</t>
  </si>
  <si>
    <t>82kΩ</t>
  </si>
  <si>
    <t>R23</t>
  </si>
  <si>
    <t>AECR1206F82K0K9</t>
  </si>
  <si>
    <t>C352030</t>
  </si>
  <si>
    <t>1kΩ</t>
  </si>
  <si>
    <t>R24,R25,R26</t>
  </si>
  <si>
    <t>SCR1206J1K</t>
  </si>
  <si>
    <t>C3018015</t>
  </si>
  <si>
    <t>60kΩ</t>
  </si>
  <si>
    <t>R27</t>
  </si>
  <si>
    <t>MCA12060D6002BP500</t>
  </si>
  <si>
    <t>C1711754</t>
  </si>
  <si>
    <t>0,5Ω</t>
  </si>
  <si>
    <t>R28</t>
  </si>
  <si>
    <t>TL3330AF130QG</t>
  </si>
  <si>
    <t>SW1</t>
  </si>
  <si>
    <t>SW-SMD_E-SWITCH_TL3330</t>
  </si>
  <si>
    <t>E-Switch</t>
  </si>
  <si>
    <t>C2886885</t>
  </si>
  <si>
    <t>ME3116</t>
  </si>
  <si>
    <t>U1</t>
  </si>
  <si>
    <t>SOT-23-6_L2.9-W1.6-P0.95-LS2.8-BL</t>
  </si>
  <si>
    <t>ME3116AM6G</t>
  </si>
  <si>
    <t>MICRONE(南京微盟)</t>
  </si>
  <si>
    <t>C97643</t>
  </si>
  <si>
    <t>XL4015E1</t>
  </si>
  <si>
    <t>U2</t>
  </si>
  <si>
    <t>TO-263-5_L10.2-W8.9-P1.70-TL</t>
  </si>
  <si>
    <t>XLSEMI(芯龙)</t>
  </si>
  <si>
    <t>C51661</t>
  </si>
  <si>
    <t>220uF</t>
  </si>
  <si>
    <t>U3,U4</t>
  </si>
  <si>
    <t>CAP-SMD_BD6.3-L6.6-W6.6-FD</t>
  </si>
  <si>
    <t>CK220UF16V167RV0142</t>
  </si>
  <si>
    <t>C5246590</t>
  </si>
  <si>
    <t>S8050W</t>
  </si>
  <si>
    <t>U5,U8</t>
  </si>
  <si>
    <t>SOT-323-3_L2.1-W1.3-P1.30-LS2.3-BR</t>
  </si>
  <si>
    <t>Slkor(萨科微)</t>
  </si>
  <si>
    <t>C5186011</t>
  </si>
  <si>
    <t>XKT-3169</t>
  </si>
  <si>
    <t>U6</t>
  </si>
  <si>
    <t>SOIC-8_L4.9-W3.9-P1.27-LS6.0-BL</t>
  </si>
  <si>
    <t>MAXIM</t>
  </si>
  <si>
    <t>C7266</t>
  </si>
  <si>
    <t>drashtipandya2020</t>
  </si>
  <si>
    <t>CH340C</t>
  </si>
  <si>
    <t>U7</t>
  </si>
  <si>
    <t>SOP-16_L10.0-W3.9-P1.27-LS6.0-BL</t>
  </si>
  <si>
    <t>WCH(南京沁恒)</t>
  </si>
  <si>
    <t>C84681</t>
  </si>
  <si>
    <t>2.4GHz</t>
  </si>
  <si>
    <t>U9</t>
  </si>
  <si>
    <t>WIRELM-SMD_ESP32-S</t>
  </si>
  <si>
    <t>ESP32-S</t>
  </si>
  <si>
    <t>Ai-Thinker(安信可)</t>
  </si>
  <si>
    <t>C277944</t>
  </si>
  <si>
    <t>IP2326</t>
  </si>
  <si>
    <t>U10</t>
  </si>
  <si>
    <t>VQFN-24_L4.0-W4.0-P0.50-BL-EP2.5</t>
  </si>
  <si>
    <t>INJOINIC(英集芯)</t>
  </si>
  <si>
    <t>C2832094</t>
  </si>
  <si>
    <t>FSUSB42MUX</t>
  </si>
  <si>
    <t>U11</t>
  </si>
  <si>
    <t>MSOP-10_L3.0-W3.0-P0.50-LS5.0-BL</t>
  </si>
  <si>
    <t>onsemi(安森美)</t>
  </si>
  <si>
    <t>C11355</t>
  </si>
  <si>
    <t>AOD423</t>
  </si>
  <si>
    <t>U12</t>
  </si>
  <si>
    <t>TO-252-2_L6.6-W6.1-P4.60-LS10.0-BR-CW</t>
  </si>
  <si>
    <t>AOS</t>
  </si>
  <si>
    <t>C3281246</t>
  </si>
  <si>
    <t>Header-Male-2.54-3x8</t>
  </si>
  <si>
    <t>J1</t>
  </si>
  <si>
    <t>HDR-TH-3X8P-P2.54-V</t>
  </si>
  <si>
    <t>chenzheyi</t>
  </si>
  <si>
    <t>Chladič na XL4015E1</t>
  </si>
  <si>
    <t>Koupené</t>
  </si>
  <si>
    <t>Cena bez DPH</t>
  </si>
  <si>
    <t>Ze skladu</t>
  </si>
  <si>
    <t xml:space="preserve">Šrouby </t>
  </si>
  <si>
    <t>Elektronika</t>
  </si>
  <si>
    <t>Matice</t>
  </si>
  <si>
    <t>Krok. motory</t>
  </si>
  <si>
    <t>5× Fréza</t>
  </si>
  <si>
    <t>Materiál</t>
  </si>
  <si>
    <t>Technický líh</t>
  </si>
  <si>
    <t>Materiál na spojky</t>
  </si>
  <si>
    <t>Elektronika rapouk</t>
  </si>
  <si>
    <t>Vřeteno</t>
  </si>
  <si>
    <t>Měniče</t>
  </si>
  <si>
    <t>Arduino a shield</t>
  </si>
  <si>
    <t>2× Závitník M2×0,4</t>
  </si>
  <si>
    <t>3D tisk</t>
  </si>
  <si>
    <t>Vratidlo</t>
  </si>
  <si>
    <t>Zdroje k CNC</t>
  </si>
  <si>
    <t>řezací olej Al</t>
  </si>
  <si>
    <t>Kabeláž</t>
  </si>
  <si>
    <t>Battery pack a nabíječka</t>
  </si>
  <si>
    <t>Doplnění argonu</t>
  </si>
  <si>
    <t>Hliníkový přídavný materiál</t>
  </si>
  <si>
    <t>Prototyp PCB</t>
  </si>
  <si>
    <t>Nové servomotory</t>
  </si>
  <si>
    <t>Celkem</t>
  </si>
  <si>
    <t>ABS (3D tisk)</t>
  </si>
  <si>
    <t>Ocel</t>
  </si>
  <si>
    <t>Nerezová ocel</t>
  </si>
  <si>
    <t>Hliník</t>
  </si>
  <si>
    <t>Titanzinek</t>
  </si>
  <si>
    <t>Obrobitelnost</t>
  </si>
  <si>
    <t>Jednoduchá</t>
  </si>
  <si>
    <t>Složitá</t>
  </si>
  <si>
    <t>https://www.kondor.cz/plech-cerny-5mm-1x2m/d-78427/</t>
  </si>
  <si>
    <t>Dostupnost</t>
  </si>
  <si>
    <t>Ano</t>
  </si>
  <si>
    <t>Ne</t>
  </si>
  <si>
    <t>https://www.ehlinik.cz/plech-hladky-50x1000x2000270kg/pro-SHV0000101.html?_gl=1*n8qk6k*_up*MQ..&amp;gclid=Cj0KCQjwiIOmBhDjARIsAP6YhSUSVtT6dJH3i30LBVyEAybEBM0m9oiei2hNP3NyfS2SGuS0a3UqrmsaAq0REALw_wcB</t>
  </si>
  <si>
    <t>Koroze</t>
  </si>
  <si>
    <t>https://e-shop.magsy.cz/nerezove-plechy/</t>
  </si>
  <si>
    <t>Cena s DPH (Kč)</t>
  </si>
  <si>
    <t>https://www.alza.cz/gearlab-abs-3d-filament-2-85mm-d6697702.htm?kampan=adwtts_tiskarny-spotrebak_pla_all_obecna-css_filamenty_c_1003797___GEAF1056_602862790920_~141164777641~&amp;gclid=Cj0KCQjwiIOmBhDjARIsAP6YhSXPKo3OQS-3rWjqZ4OVX6S3Jm_QbrCV7Ho7D4cWu0ZRtOWFGyyEpGIaAhC4EALw_wcB</t>
  </si>
  <si>
    <t>https://evek.vip/titan/2105-176760-titanov--plech-t-dy-5-5-mm-titanov--plech-37165-titanov--plech--ezan--100-mm-a--2000-mm.html#/234-d%C3%A9lka-1000mm/236-%C5%A1%C3%AD%C5%99ka-500mm/258-tlou%C5%A1%C5%A5ka_s%C3%ADla-5mm</t>
  </si>
  <si>
    <t>Značky (jednotky)</t>
  </si>
  <si>
    <t>Hodnota</t>
  </si>
  <si>
    <t>Legenda</t>
  </si>
  <si>
    <t>Délka servomotru</t>
  </si>
  <si>
    <r>
      <t>L</t>
    </r>
    <r>
      <rPr>
        <vertAlign val="subscript"/>
        <sz val="11"/>
        <color rgb="FF000000"/>
        <rFont val="Calibri"/>
        <family val="2"/>
        <charset val="238"/>
      </rPr>
      <t>d</t>
    </r>
    <r>
      <rPr>
        <sz val="11"/>
        <color rgb="FF000000"/>
        <rFont val="Calibri"/>
        <family val="2"/>
        <charset val="238"/>
      </rPr>
      <t xml:space="preserve"> (mm)</t>
    </r>
  </si>
  <si>
    <t>Průměr</t>
  </si>
  <si>
    <t>d (mm)</t>
  </si>
  <si>
    <t>Výpočet</t>
  </si>
  <si>
    <t>Gravitační zrychlení</t>
  </si>
  <si>
    <t>G (m/s2)</t>
  </si>
  <si>
    <t>Maximální napětí v ohybu</t>
  </si>
  <si>
    <r>
      <t>σ</t>
    </r>
    <r>
      <rPr>
        <vertAlign val="subscript"/>
        <sz val="11"/>
        <color rgb="FF000000"/>
        <rFont val="Calibri"/>
        <family val="2"/>
        <charset val="238"/>
      </rPr>
      <t>do</t>
    </r>
    <r>
      <rPr>
        <sz val="11"/>
        <color rgb="FF000000"/>
        <rFont val="Calibri"/>
        <family val="2"/>
        <charset val="238"/>
      </rPr>
      <t xml:space="preserve"> (MPa)</t>
    </r>
  </si>
  <si>
    <t>Procento napětí</t>
  </si>
  <si>
    <t>Počet noh</t>
  </si>
  <si>
    <t>OHYB</t>
  </si>
  <si>
    <t>Napětí v ohybu</t>
  </si>
  <si>
    <r>
      <t>σ</t>
    </r>
    <r>
      <rPr>
        <vertAlign val="subscript"/>
        <sz val="11"/>
        <color rgb="FF000000"/>
        <rFont val="Calibri"/>
        <family val="2"/>
        <charset val="238"/>
      </rPr>
      <t xml:space="preserve">o </t>
    </r>
    <r>
      <rPr>
        <sz val="11"/>
        <color rgb="FF000000"/>
        <rFont val="Calibri"/>
        <family val="2"/>
        <charset val="238"/>
      </rPr>
      <t>(MPa)</t>
    </r>
  </si>
  <si>
    <t>Síla na jedné noze</t>
  </si>
  <si>
    <r>
      <t>F</t>
    </r>
    <r>
      <rPr>
        <vertAlign val="subscript"/>
        <sz val="11"/>
        <color rgb="FF000000"/>
        <rFont val="Calibri"/>
        <family val="2"/>
        <charset val="238"/>
      </rPr>
      <t xml:space="preserve">1 </t>
    </r>
    <r>
      <rPr>
        <sz val="11"/>
        <color rgb="FF000000"/>
        <rFont val="Calibri"/>
        <family val="2"/>
        <charset val="238"/>
      </rPr>
      <t>(N)</t>
    </r>
  </si>
  <si>
    <t>Maximální zatížení na jedné noze</t>
  </si>
  <si>
    <r>
      <t>m</t>
    </r>
    <r>
      <rPr>
        <vertAlign val="subscript"/>
        <sz val="11"/>
        <color rgb="FF000000"/>
        <rFont val="Calibri"/>
        <family val="2"/>
        <charset val="238"/>
      </rPr>
      <t>1</t>
    </r>
    <r>
      <rPr>
        <sz val="11"/>
        <color rgb="FF000000"/>
        <rFont val="Calibri"/>
        <family val="2"/>
        <charset val="238"/>
      </rPr>
      <t>(kg)</t>
    </r>
  </si>
  <si>
    <t>Síla celkem</t>
  </si>
  <si>
    <t>F (N)</t>
  </si>
  <si>
    <t>Maximální zatížení</t>
  </si>
  <si>
    <t>m (kg)</t>
  </si>
  <si>
    <t>Úhel kroku</t>
  </si>
  <si>
    <t>°</t>
  </si>
  <si>
    <t>Stoupání závitové tyče</t>
  </si>
  <si>
    <t>mm</t>
  </si>
  <si>
    <t>Počet mezikroků</t>
  </si>
  <si>
    <t>Step per</t>
  </si>
  <si>
    <t>Značka (jednotky)</t>
  </si>
  <si>
    <t>Otáčky</t>
  </si>
  <si>
    <r>
      <t>n (min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</si>
  <si>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Průměr nástroje</t>
  </si>
  <si>
    <t>D (mm)</t>
  </si>
  <si>
    <t>Počet zubů</t>
  </si>
  <si>
    <t>z</t>
  </si>
  <si>
    <t>Posuv na zub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</si>
  <si>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z</t>
    </r>
    <r>
      <rPr>
        <sz val="11"/>
        <color theme="1"/>
        <rFont val="Calibri"/>
        <family val="2"/>
        <scheme val="minor"/>
      </rPr>
      <t xml:space="preserve"> (mm)</t>
    </r>
  </si>
  <si>
    <t>Řezná rychlost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</si>
  <si>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c</t>
    </r>
    <r>
      <rPr>
        <sz val="11"/>
        <color theme="1"/>
        <rFont val="Calibri"/>
        <family val="2"/>
        <scheme val="minor"/>
      </rPr>
      <t xml:space="preserve"> (m*min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</si>
  <si>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Rychlost posuvu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</si>
  <si>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f</t>
    </r>
    <r>
      <rPr>
        <sz val="11"/>
        <color theme="1"/>
        <rFont val="Calibri"/>
        <family val="2"/>
        <scheme val="minor"/>
      </rPr>
      <t xml:space="preserve"> (mm*min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</si>
  <si>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Posuv na otáčku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</si>
  <si>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ot</t>
    </r>
    <r>
      <rPr>
        <sz val="11"/>
        <color theme="1"/>
        <rFont val="Calibri"/>
        <family val="2"/>
        <scheme val="minor"/>
      </rPr>
      <t xml:space="preserve"> (mm)</t>
    </r>
  </si>
  <si>
    <t>Napětí obvodu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</si>
  <si>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scheme val="minor"/>
      </rPr>
      <t xml:space="preserve"> (V)</t>
    </r>
  </si>
  <si>
    <t>Provozní napětí diody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</si>
  <si>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LED</t>
    </r>
    <r>
      <rPr>
        <sz val="11"/>
        <color theme="1"/>
        <rFont val="Calibri"/>
        <family val="2"/>
        <scheme val="minor"/>
      </rPr>
      <t xml:space="preserve"> (V)</t>
    </r>
  </si>
  <si>
    <t>Provozní proud</t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</si>
  <si>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LED</t>
    </r>
    <r>
      <rPr>
        <sz val="11"/>
        <color theme="1"/>
        <rFont val="Calibri"/>
        <family val="2"/>
        <scheme val="minor"/>
      </rPr>
      <t xml:space="preserve"> (A)</t>
    </r>
  </si>
  <si>
    <t>Odpor diody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</si>
  <si>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LED</t>
    </r>
    <r>
      <rPr>
        <sz val="11"/>
        <color theme="1"/>
        <rFont val="Calibri"/>
        <family val="2"/>
        <scheme val="minor"/>
      </rPr>
      <t xml:space="preserve"> (Ω)</t>
    </r>
  </si>
  <si>
    <t>Proud obvodu</t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</si>
  <si>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scheme val="minor"/>
      </rPr>
      <t xml:space="preserve"> (A)</t>
    </r>
  </si>
  <si>
    <t>Napětí na odporu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</si>
  <si>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R</t>
    </r>
    <r>
      <rPr>
        <sz val="11"/>
        <color theme="1"/>
        <rFont val="Calibri"/>
        <family val="2"/>
        <scheme val="minor"/>
      </rPr>
      <t xml:space="preserve"> (V)</t>
    </r>
  </si>
  <si>
    <t>Odpor rezistoru</t>
  </si>
  <si>
    <t>R (Ω)</t>
  </si>
  <si>
    <t>Výkon rezistoru</t>
  </si>
  <si>
    <t>P (W)</t>
  </si>
  <si>
    <t>Napětí</t>
  </si>
  <si>
    <t>U (V)</t>
  </si>
  <si>
    <t>Proud</t>
  </si>
  <si>
    <t>I (A)</t>
  </si>
  <si>
    <t>Kapacita baterie</t>
  </si>
  <si>
    <t>Ib (Ah)</t>
  </si>
  <si>
    <t>Výkon baterie</t>
  </si>
  <si>
    <t>Pb (Wh)</t>
  </si>
  <si>
    <t>Výdrž baterie</t>
  </si>
  <si>
    <t>t (h)</t>
  </si>
  <si>
    <t>Maximální napětí baterie</t>
  </si>
  <si>
    <t>Vbat (V)</t>
  </si>
  <si>
    <t>Maximální napětí ovl. Desky</t>
  </si>
  <si>
    <t>Vin (V)</t>
  </si>
  <si>
    <t>Odpor</t>
  </si>
  <si>
    <t>R1 (kΩ)</t>
  </si>
  <si>
    <t>R2 (kΩ)</t>
  </si>
  <si>
    <t>https://www.youtube.com/watch?v=gw72g4WBz-U</t>
  </si>
  <si>
    <t>Procento</t>
  </si>
  <si>
    <t>Tisk formy</t>
  </si>
  <si>
    <t>Příprava na výrobu PCB</t>
  </si>
  <si>
    <t>Tesotvání PCB</t>
  </si>
  <si>
    <t>Programování a algoritmizace</t>
  </si>
  <si>
    <t>Obrábění</t>
  </si>
  <si>
    <t>Příprava na eloxování</t>
  </si>
  <si>
    <t>Tisk a úprava modelu</t>
  </si>
  <si>
    <t>KOM</t>
  </si>
  <si>
    <t xml:space="preserve">Eloxování </t>
  </si>
  <si>
    <t>Eloxování</t>
  </si>
  <si>
    <t>Protokol</t>
  </si>
  <si>
    <t>Konzervace</t>
  </si>
  <si>
    <t>Příprava na pogumování</t>
  </si>
  <si>
    <t>Pogumování</t>
  </si>
  <si>
    <t>Vakuové tvarování</t>
  </si>
  <si>
    <t>Servomotory</t>
  </si>
  <si>
    <t>Debugování</t>
  </si>
  <si>
    <t>Programování</t>
  </si>
  <si>
    <t>Aktualizace firmware</t>
  </si>
  <si>
    <t>Přidávání chladičů</t>
  </si>
  <si>
    <t>Testování</t>
  </si>
  <si>
    <t>Přiřazování pohybů</t>
  </si>
  <si>
    <t>Nevím, všechno už</t>
  </si>
  <si>
    <t>Focení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</si>
</sst>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Kč&quot;"/>
    <numFmt numFmtId="165" formatCode="0.000"/>
    <numFmt numFmtId="166" formatCode="[$$-409]#,##0.00"/>
    <numFmt numFmtId="167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charset val="1"/>
    </font>
    <font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38"/>
      <scheme val="minor"/>
    </font>
    <font>
      <vertAlign val="subscript"/>
      <sz val="11"/>
      <color rgb="FF000000"/>
      <name val="Calibri"/>
      <family val="2"/>
      <charset val="238"/>
    </font>
    <font>
      <vertAlign val="superscript"/>
      <sz val="11"/>
      <color theme="1"/>
      <name val="Calibri"/>
      <family val="2"/>
      <charset val="238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9" fillId="3" borderId="1" applyNumberFormat="0" applyFont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0" fontId="4" fillId="0" borderId="0" xfId="0" applyFont="1"/>
    <xf numFmtId="0" fontId="1" fillId="0" borderId="0" xfId="1" applyBorder="1" applyAlignment="1"/>
    <xf numFmtId="0" fontId="5" fillId="0" borderId="0" xfId="0" applyFont="1"/>
    <xf numFmtId="164" fontId="0" fillId="0" borderId="0" xfId="0" applyNumberFormat="1"/>
    <xf numFmtId="14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0" fontId="0" fillId="3" borderId="1" xfId="3" applyFont="1"/>
    <xf numFmtId="0" fontId="10" fillId="2" borderId="0" xfId="2"/>
    <xf numFmtId="165" fontId="4" fillId="0" borderId="0" xfId="0" applyNumberFormat="1" applyFont="1"/>
    <xf numFmtId="9" fontId="10" fillId="2" borderId="0" xfId="2" applyNumberFormat="1"/>
    <xf numFmtId="0" fontId="10" fillId="2" borderId="1" xfId="2" applyBorder="1"/>
    <xf numFmtId="0" fontId="0" fillId="3" borderId="0" xfId="3" applyFont="1" applyBorder="1"/>
    <xf numFmtId="0" fontId="1" fillId="0" borderId="0" xfId="0" applyFont="1"/>
    <xf numFmtId="0" fontId="13" fillId="0" borderId="0" xfId="0" applyFont="1"/>
    <xf numFmtId="2" fontId="13" fillId="0" borderId="0" xfId="0" applyNumberFormat="1" applyFont="1"/>
    <xf numFmtId="0" fontId="1" fillId="0" borderId="0" xfId="4"/>
    <xf numFmtId="10" fontId="0" fillId="0" borderId="0" xfId="0" applyNumberFormat="1"/>
    <xf numFmtId="11" fontId="0" fillId="0" borderId="0" xfId="0" applyNumberFormat="1"/>
    <xf numFmtId="2" fontId="2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2" fontId="13" fillId="0" borderId="0" xfId="0" applyNumberFormat="1" applyFont="1" applyAlignment="1">
      <alignment vertic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49" fontId="0" fillId="0" borderId="0" xfId="0" applyNumberFormat="1"/>
    <xf numFmtId="14" fontId="0" fillId="0" borderId="0" xfId="0" applyNumberFormat="1" applyAlignment="1">
      <alignment vertical="center"/>
    </xf>
    <xf numFmtId="167" fontId="0" fillId="0" borderId="0" xfId="0" applyNumberFormat="1"/>
    <xf numFmtId="14" fontId="1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5">
    <cellStyle name="Hyperlink" xfId="1" xr:uid="{00000000-0005-0000-0000-000000000000}"/>
    <cellStyle name="Hypertextový odkaz" xfId="4" builtinId="8"/>
    <cellStyle name="Neutrální" xfId="2" builtinId="28"/>
    <cellStyle name="Normální" xfId="0" builtinId="0"/>
    <cellStyle name="Poznámka" xfId="3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Křivky!$C$1</c:f>
              <c:strCache>
                <c:ptCount val="1"/>
                <c:pt idx="0">
                  <c:v>Procento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Křivky!$B$2:$B$9</c:f>
              <c:numCache>
                <c:formatCode>General</c:formatCode>
                <c:ptCount val="8"/>
                <c:pt idx="0">
                  <c:v>8.4</c:v>
                </c:pt>
                <c:pt idx="1">
                  <c:v>8.1999999999999993</c:v>
                </c:pt>
                <c:pt idx="2">
                  <c:v>7.6</c:v>
                </c:pt>
                <c:pt idx="3">
                  <c:v>7.5</c:v>
                </c:pt>
                <c:pt idx="4">
                  <c:v>7.4</c:v>
                </c:pt>
                <c:pt idx="5">
                  <c:v>7.2</c:v>
                </c:pt>
                <c:pt idx="6">
                  <c:v>7</c:v>
                </c:pt>
                <c:pt idx="7">
                  <c:v>6.8</c:v>
                </c:pt>
              </c:numCache>
            </c:numRef>
          </c:cat>
          <c:val>
            <c:numRef>
              <c:f>Křivky!$C$2:$C$9</c:f>
              <c:numCache>
                <c:formatCode>0.00E+00</c:formatCode>
                <c:ptCount val="8"/>
                <c:pt idx="0">
                  <c:v>328.65556480363011</c:v>
                </c:pt>
                <c:pt idx="1">
                  <c:v>298.17688639834523</c:v>
                </c:pt>
                <c:pt idx="2">
                  <c:v>186.74923519045115</c:v>
                </c:pt>
                <c:pt idx="3">
                  <c:v>167.3828125</c:v>
                </c:pt>
                <c:pt idx="4">
                  <c:v>150.25180479884148</c:v>
                </c:pt>
                <c:pt idx="5">
                  <c:v>125.23632640019059</c:v>
                </c:pt>
                <c:pt idx="6">
                  <c:v>111.58999999985099</c:v>
                </c:pt>
                <c:pt idx="7">
                  <c:v>97.120153598487377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B-4A08-AFC6-A7107462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763359"/>
        <c:axId val="440760959"/>
      </c:lineChart>
      <c:catAx>
        <c:axId val="44076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0760959"/>
        <c:crosses val="autoZero"/>
        <c:auto val="1"/>
        <c:lblAlgn val="ctr"/>
        <c:lblOffset val="100"/>
        <c:noMultiLvlLbl val="0"/>
      </c:catAx>
      <c:valAx>
        <c:axId val="4407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Kapacita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List1!$A$1:$H$1</c:f>
              <c:numCache>
                <c:formatCode>0.0</c:formatCode>
                <c:ptCount val="8"/>
                <c:pt idx="0">
                  <c:v>8.4</c:v>
                </c:pt>
                <c:pt idx="1">
                  <c:v>8.1999999999999993</c:v>
                </c:pt>
                <c:pt idx="2">
                  <c:v>7.6</c:v>
                </c:pt>
                <c:pt idx="3">
                  <c:v>7.5</c:v>
                </c:pt>
                <c:pt idx="4">
                  <c:v>7.4</c:v>
                </c:pt>
                <c:pt idx="5">
                  <c:v>7.2</c:v>
                </c:pt>
                <c:pt idx="6">
                  <c:v>7</c:v>
                </c:pt>
                <c:pt idx="7">
                  <c:v>6.8</c:v>
                </c:pt>
              </c:numCache>
            </c:numRef>
          </c:cat>
          <c:val>
            <c:numRef>
              <c:f>List1!$A$3:$H$3</c:f>
              <c:numCache>
                <c:formatCode>General</c:formatCode>
                <c:ptCount val="8"/>
                <c:pt idx="0">
                  <c:v>100</c:v>
                </c:pt>
                <c:pt idx="1">
                  <c:v>90.1</c:v>
                </c:pt>
                <c:pt idx="2">
                  <c:v>34.5</c:v>
                </c:pt>
                <c:pt idx="3">
                  <c:v>19.600000000000001</c:v>
                </c:pt>
                <c:pt idx="4">
                  <c:v>12.7</c:v>
                </c:pt>
                <c:pt idx="5">
                  <c:v>2.8</c:v>
                </c:pt>
                <c:pt idx="6">
                  <c:v>1.3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18-4987-AAED-C1E5A1748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807423"/>
        <c:axId val="5837978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Napětí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List1!$A$1:$H$1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8.4</c:v>
                      </c:pt>
                      <c:pt idx="1">
                        <c:v>8.1999999999999993</c:v>
                      </c:pt>
                      <c:pt idx="2">
                        <c:v>7.6</c:v>
                      </c:pt>
                      <c:pt idx="3">
                        <c:v>7.5</c:v>
                      </c:pt>
                      <c:pt idx="4">
                        <c:v>7.4</c:v>
                      </c:pt>
                      <c:pt idx="5">
                        <c:v>7.2</c:v>
                      </c:pt>
                      <c:pt idx="6">
                        <c:v>7</c:v>
                      </c:pt>
                      <c:pt idx="7">
                        <c:v>6.8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List1!$A$1:$H$1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8.4</c:v>
                      </c:pt>
                      <c:pt idx="1">
                        <c:v>8.1999999999999993</c:v>
                      </c:pt>
                      <c:pt idx="2">
                        <c:v>7.6</c:v>
                      </c:pt>
                      <c:pt idx="3">
                        <c:v>7.5</c:v>
                      </c:pt>
                      <c:pt idx="4">
                        <c:v>7.4</c:v>
                      </c:pt>
                      <c:pt idx="5">
                        <c:v>7.2</c:v>
                      </c:pt>
                      <c:pt idx="6">
                        <c:v>7</c:v>
                      </c:pt>
                      <c:pt idx="7">
                        <c:v>6.8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018-4987-AAED-C1E5A17483BC}"/>
                  </c:ext>
                </c:extLst>
              </c15:ser>
            </c15:filteredLineSeries>
          </c:ext>
        </c:extLst>
      </c:lineChart>
      <c:catAx>
        <c:axId val="58380742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3797823"/>
        <c:crosses val="autoZero"/>
        <c:auto val="1"/>
        <c:lblAlgn val="ctr"/>
        <c:lblOffset val="100"/>
        <c:noMultiLvlLbl val="0"/>
      </c:catAx>
      <c:valAx>
        <c:axId val="5837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380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3</xdr:row>
      <xdr:rowOff>114300</xdr:rowOff>
    </xdr:from>
    <xdr:to>
      <xdr:col>15</xdr:col>
      <xdr:colOff>446252</xdr:colOff>
      <xdr:row>21</xdr:row>
      <xdr:rowOff>51769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825F4F12-EF99-7C83-2245-D204099F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685800"/>
          <a:ext cx="6256502" cy="3366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166687</xdr:rowOff>
    </xdr:from>
    <xdr:to>
      <xdr:col>13</xdr:col>
      <xdr:colOff>352425</xdr:colOff>
      <xdr:row>18</xdr:row>
      <xdr:rowOff>52387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B09413DA-D598-D751-A016-EC0B8F414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</xdr:row>
      <xdr:rowOff>166687</xdr:rowOff>
    </xdr:from>
    <xdr:to>
      <xdr:col>16</xdr:col>
      <xdr:colOff>495300</xdr:colOff>
      <xdr:row>17</xdr:row>
      <xdr:rowOff>52387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C223DAB0-8E26-3D20-49F9-E68554ADD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-shop.magsy.cz/nerezove-plechy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gw72g4WBz-U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0"/>
  <sheetViews>
    <sheetView tabSelected="1" topLeftCell="A162" zoomScaleNormal="100" workbookViewId="0">
      <selection activeCell="F183" sqref="F183"/>
    </sheetView>
  </sheetViews>
  <sheetFormatPr defaultRowHeight="15" x14ac:dyDescent="0.25"/>
  <cols>
    <col min="1" max="1" width="27.85546875" bestFit="1" customWidth="1"/>
    <col min="2" max="2" width="12.85546875" bestFit="1" customWidth="1"/>
    <col min="3" max="3" width="10.85546875" bestFit="1" customWidth="1"/>
    <col min="4" max="4" width="2.42578125" customWidth="1"/>
    <col min="5" max="5" width="37.140625" bestFit="1" customWidth="1"/>
    <col min="6" max="6" width="11.140625" bestFit="1" customWidth="1"/>
    <col min="7" max="7" width="10.85546875" bestFit="1" customWidth="1"/>
    <col min="10" max="10" width="11.85546875" bestFit="1" customWidth="1"/>
    <col min="11" max="11" width="18.5703125" bestFit="1" customWidth="1"/>
  </cols>
  <sheetData>
    <row r="1" spans="1:7" x14ac:dyDescent="0.25">
      <c r="A1" s="33" t="s">
        <v>0</v>
      </c>
      <c r="B1" s="33"/>
      <c r="C1" s="33"/>
      <c r="D1" s="33"/>
      <c r="E1" s="33"/>
      <c r="F1" s="33"/>
      <c r="G1" s="33"/>
    </row>
    <row r="2" spans="1:7" x14ac:dyDescent="0.25">
      <c r="A2" s="34" t="s">
        <v>1</v>
      </c>
      <c r="B2" s="34"/>
      <c r="C2" s="34"/>
      <c r="D2" s="1"/>
      <c r="E2" s="34" t="s">
        <v>2</v>
      </c>
      <c r="F2" s="34"/>
      <c r="G2" s="34"/>
    </row>
    <row r="3" spans="1:7" x14ac:dyDescent="0.25">
      <c r="A3" s="1" t="s">
        <v>3</v>
      </c>
      <c r="B3" s="1" t="s">
        <v>4</v>
      </c>
      <c r="C3" s="1" t="s">
        <v>5</v>
      </c>
      <c r="D3" s="1"/>
      <c r="E3" s="1" t="s">
        <v>3</v>
      </c>
      <c r="F3" s="1" t="s">
        <v>4</v>
      </c>
      <c r="G3" s="1" t="s">
        <v>5</v>
      </c>
    </row>
    <row r="4" spans="1:7" ht="15.75" customHeight="1" x14ac:dyDescent="0.25">
      <c r="A4" s="2" t="s">
        <v>6</v>
      </c>
      <c r="B4" s="23">
        <v>2</v>
      </c>
      <c r="C4" s="3">
        <v>45009</v>
      </c>
      <c r="D4" s="1"/>
      <c r="E4" s="2" t="s">
        <v>7</v>
      </c>
      <c r="F4" s="23">
        <v>0.75</v>
      </c>
      <c r="G4" s="3">
        <v>45092</v>
      </c>
    </row>
    <row r="5" spans="1:7" x14ac:dyDescent="0.25">
      <c r="A5" s="2" t="s">
        <v>8</v>
      </c>
      <c r="B5" s="23">
        <v>2.5</v>
      </c>
      <c r="C5" s="3">
        <v>45015</v>
      </c>
      <c r="D5" s="1"/>
      <c r="E5" s="1" t="s">
        <v>7</v>
      </c>
      <c r="F5" s="23">
        <v>0.75</v>
      </c>
      <c r="G5" s="3">
        <v>45093</v>
      </c>
    </row>
    <row r="6" spans="1:7" x14ac:dyDescent="0.25">
      <c r="A6" s="2" t="s">
        <v>9</v>
      </c>
      <c r="B6" s="23">
        <v>0.5</v>
      </c>
      <c r="C6" s="3">
        <v>44990</v>
      </c>
      <c r="D6" s="1"/>
      <c r="E6" s="2" t="s">
        <v>10</v>
      </c>
      <c r="F6" s="23">
        <v>2.5</v>
      </c>
      <c r="G6" s="3">
        <v>45094</v>
      </c>
    </row>
    <row r="7" spans="1:7" x14ac:dyDescent="0.25">
      <c r="A7" s="2" t="s">
        <v>11</v>
      </c>
      <c r="B7" s="23">
        <v>2</v>
      </c>
      <c r="C7" s="3">
        <v>45023</v>
      </c>
      <c r="D7" s="1"/>
      <c r="E7" s="1" t="s">
        <v>7</v>
      </c>
      <c r="F7" s="23">
        <v>2.5</v>
      </c>
      <c r="G7" s="3">
        <v>45094</v>
      </c>
    </row>
    <row r="8" spans="1:7" x14ac:dyDescent="0.25">
      <c r="A8" s="2" t="s">
        <v>12</v>
      </c>
      <c r="B8" s="23">
        <v>2</v>
      </c>
      <c r="C8" s="3">
        <v>45026</v>
      </c>
      <c r="D8" s="1"/>
      <c r="E8" s="1" t="s">
        <v>7</v>
      </c>
      <c r="F8" s="23">
        <v>1.5</v>
      </c>
      <c r="G8" s="3">
        <v>45095</v>
      </c>
    </row>
    <row r="9" spans="1:7" x14ac:dyDescent="0.25">
      <c r="A9" s="1" t="s">
        <v>13</v>
      </c>
      <c r="B9" s="23">
        <v>1.2</v>
      </c>
      <c r="C9" s="3">
        <v>45045</v>
      </c>
      <c r="D9" s="1"/>
      <c r="E9" s="1" t="s">
        <v>7</v>
      </c>
      <c r="F9" s="23">
        <v>0.2</v>
      </c>
      <c r="G9" s="3">
        <v>45102</v>
      </c>
    </row>
    <row r="10" spans="1:7" x14ac:dyDescent="0.25">
      <c r="A10" s="2" t="s">
        <v>13</v>
      </c>
      <c r="B10" s="23">
        <v>2</v>
      </c>
      <c r="C10" s="3">
        <v>45028</v>
      </c>
      <c r="D10" s="1"/>
      <c r="E10" s="1" t="s">
        <v>14</v>
      </c>
      <c r="F10" s="23">
        <v>0.5</v>
      </c>
      <c r="G10" s="3">
        <v>45129</v>
      </c>
    </row>
    <row r="11" spans="1:7" x14ac:dyDescent="0.25">
      <c r="A11" s="1" t="s">
        <v>13</v>
      </c>
      <c r="B11" s="23">
        <v>2</v>
      </c>
      <c r="C11" s="3">
        <v>45053</v>
      </c>
      <c r="D11" s="1"/>
      <c r="E11" s="1" t="s">
        <v>15</v>
      </c>
      <c r="F11" s="23">
        <v>2</v>
      </c>
      <c r="G11" s="3">
        <v>45129</v>
      </c>
    </row>
    <row r="12" spans="1:7" x14ac:dyDescent="0.25">
      <c r="A12" s="2" t="s">
        <v>13</v>
      </c>
      <c r="B12" s="23">
        <v>3</v>
      </c>
      <c r="C12" s="3">
        <v>45061</v>
      </c>
      <c r="D12" s="1"/>
      <c r="E12" s="1" t="s">
        <v>16</v>
      </c>
      <c r="F12" s="23">
        <v>1</v>
      </c>
      <c r="G12" s="3">
        <v>45129</v>
      </c>
    </row>
    <row r="13" spans="1:7" x14ac:dyDescent="0.25">
      <c r="A13" s="2" t="s">
        <v>13</v>
      </c>
      <c r="B13" s="23">
        <v>1.5</v>
      </c>
      <c r="C13" s="3">
        <v>45073</v>
      </c>
      <c r="D13" s="1"/>
      <c r="E13" s="1" t="s">
        <v>17</v>
      </c>
      <c r="F13" s="23">
        <v>2</v>
      </c>
      <c r="G13" s="3">
        <v>45130</v>
      </c>
    </row>
    <row r="14" spans="1:7" x14ac:dyDescent="0.25">
      <c r="A14" s="2" t="s">
        <v>18</v>
      </c>
      <c r="B14" s="23">
        <v>3</v>
      </c>
      <c r="C14" s="3">
        <v>45075</v>
      </c>
      <c r="D14" s="1"/>
      <c r="E14" s="1" t="s">
        <v>19</v>
      </c>
      <c r="F14" s="23">
        <v>0.25</v>
      </c>
      <c r="G14" s="3">
        <v>45130</v>
      </c>
    </row>
    <row r="15" spans="1:7" x14ac:dyDescent="0.25">
      <c r="A15" s="2" t="s">
        <v>18</v>
      </c>
      <c r="B15" s="23">
        <v>1</v>
      </c>
      <c r="C15" s="3">
        <v>45092</v>
      </c>
      <c r="D15" s="1"/>
      <c r="E15" s="1" t="s">
        <v>17</v>
      </c>
      <c r="F15" s="23">
        <v>1.5</v>
      </c>
      <c r="G15" s="3">
        <v>45131</v>
      </c>
    </row>
    <row r="16" spans="1:7" x14ac:dyDescent="0.25">
      <c r="A16" s="2" t="s">
        <v>18</v>
      </c>
      <c r="B16" s="23">
        <v>1</v>
      </c>
      <c r="C16" s="3">
        <v>45093</v>
      </c>
      <c r="D16" s="1"/>
      <c r="E16" s="1" t="s">
        <v>20</v>
      </c>
      <c r="F16" s="23">
        <v>1</v>
      </c>
      <c r="G16" s="3">
        <v>45132</v>
      </c>
    </row>
    <row r="17" spans="1:7" x14ac:dyDescent="0.25">
      <c r="A17" s="2" t="s">
        <v>21</v>
      </c>
      <c r="B17" s="23">
        <v>0.75</v>
      </c>
      <c r="C17" s="3">
        <v>45094</v>
      </c>
      <c r="D17" s="1"/>
      <c r="E17" s="1" t="s">
        <v>22</v>
      </c>
      <c r="F17" s="23">
        <v>1</v>
      </c>
      <c r="G17" s="3">
        <v>45133</v>
      </c>
    </row>
    <row r="18" spans="1:7" x14ac:dyDescent="0.25">
      <c r="A18" s="2" t="s">
        <v>18</v>
      </c>
      <c r="B18" s="23">
        <v>1</v>
      </c>
      <c r="C18" s="3">
        <v>45094</v>
      </c>
      <c r="D18" s="1"/>
      <c r="E18" s="1" t="s">
        <v>22</v>
      </c>
      <c r="F18" s="23">
        <v>1</v>
      </c>
      <c r="G18" s="3">
        <v>45134</v>
      </c>
    </row>
    <row r="19" spans="1:7" x14ac:dyDescent="0.25">
      <c r="A19" s="2" t="s">
        <v>23</v>
      </c>
      <c r="B19" s="23">
        <v>0.5</v>
      </c>
      <c r="C19" s="3">
        <v>45095</v>
      </c>
      <c r="D19" s="1"/>
      <c r="E19" s="1" t="s">
        <v>24</v>
      </c>
      <c r="F19" s="23">
        <v>1</v>
      </c>
      <c r="G19" s="3">
        <v>45134</v>
      </c>
    </row>
    <row r="20" spans="1:7" x14ac:dyDescent="0.25">
      <c r="A20" s="2" t="s">
        <v>18</v>
      </c>
      <c r="B20" s="23">
        <v>1.5</v>
      </c>
      <c r="C20" s="3">
        <v>45099</v>
      </c>
      <c r="D20" s="1"/>
      <c r="E20" s="1" t="s">
        <v>25</v>
      </c>
      <c r="F20" s="23">
        <v>1.5</v>
      </c>
      <c r="G20" s="3">
        <v>45137</v>
      </c>
    </row>
    <row r="21" spans="1:7" x14ac:dyDescent="0.25">
      <c r="A21" s="2" t="s">
        <v>18</v>
      </c>
      <c r="B21" s="23">
        <v>3</v>
      </c>
      <c r="C21" s="3">
        <v>45102</v>
      </c>
      <c r="D21" s="1"/>
      <c r="E21" s="1" t="s">
        <v>26</v>
      </c>
      <c r="F21" s="23">
        <v>2</v>
      </c>
      <c r="G21" s="3">
        <v>45138</v>
      </c>
    </row>
    <row r="22" spans="1:7" x14ac:dyDescent="0.25">
      <c r="A22" s="1" t="s">
        <v>27</v>
      </c>
      <c r="B22" s="23">
        <v>0.25</v>
      </c>
      <c r="C22" s="3">
        <v>45130</v>
      </c>
      <c r="D22" s="1"/>
      <c r="E22" s="1" t="s">
        <v>28</v>
      </c>
      <c r="F22" s="23">
        <v>4</v>
      </c>
      <c r="G22" s="3">
        <v>45138</v>
      </c>
    </row>
    <row r="23" spans="1:7" x14ac:dyDescent="0.25">
      <c r="A23" s="1" t="s">
        <v>29</v>
      </c>
      <c r="B23" s="23">
        <v>1</v>
      </c>
      <c r="C23" s="3">
        <v>45140</v>
      </c>
      <c r="D23" s="1"/>
      <c r="E23" s="1" t="s">
        <v>30</v>
      </c>
      <c r="F23" s="23">
        <v>4</v>
      </c>
      <c r="G23" s="3">
        <v>45143</v>
      </c>
    </row>
    <row r="24" spans="1:7" x14ac:dyDescent="0.25">
      <c r="A24" s="1" t="s">
        <v>29</v>
      </c>
      <c r="B24" s="23">
        <v>1</v>
      </c>
      <c r="C24" s="3">
        <v>45142</v>
      </c>
      <c r="D24" s="1"/>
      <c r="E24" s="1" t="s">
        <v>31</v>
      </c>
      <c r="F24" s="23">
        <v>1</v>
      </c>
      <c r="G24" s="3">
        <v>45150</v>
      </c>
    </row>
    <row r="25" spans="1:7" x14ac:dyDescent="0.25">
      <c r="A25" s="1" t="s">
        <v>32</v>
      </c>
      <c r="B25" s="23">
        <v>6</v>
      </c>
      <c r="C25" s="3">
        <v>45144</v>
      </c>
      <c r="D25" s="1"/>
      <c r="E25" s="1" t="s">
        <v>27</v>
      </c>
      <c r="F25" s="23">
        <v>3</v>
      </c>
      <c r="G25" s="3">
        <v>45156</v>
      </c>
    </row>
    <row r="26" spans="1:7" x14ac:dyDescent="0.25">
      <c r="A26" s="1" t="s">
        <v>33</v>
      </c>
      <c r="B26" s="23">
        <v>5</v>
      </c>
      <c r="C26" s="3">
        <v>45145</v>
      </c>
      <c r="D26" s="1"/>
      <c r="E26" s="1" t="s">
        <v>34</v>
      </c>
      <c r="F26" s="23">
        <v>0.75</v>
      </c>
      <c r="G26" s="3">
        <v>45173</v>
      </c>
    </row>
    <row r="27" spans="1:7" x14ac:dyDescent="0.25">
      <c r="A27" s="2" t="s">
        <v>18</v>
      </c>
      <c r="B27" s="23">
        <v>1</v>
      </c>
      <c r="C27" s="3">
        <v>45211</v>
      </c>
      <c r="D27" s="1"/>
      <c r="E27" s="1" t="s">
        <v>35</v>
      </c>
      <c r="F27" s="23">
        <v>0.5</v>
      </c>
      <c r="G27" s="3">
        <v>45174</v>
      </c>
    </row>
    <row r="28" spans="1:7" x14ac:dyDescent="0.25">
      <c r="A28" s="2" t="s">
        <v>36</v>
      </c>
      <c r="B28" s="23">
        <v>1</v>
      </c>
      <c r="C28" s="3">
        <v>45242</v>
      </c>
      <c r="D28" s="1"/>
      <c r="E28" s="1" t="s">
        <v>37</v>
      </c>
      <c r="F28" s="23">
        <v>1.5</v>
      </c>
      <c r="G28" s="3">
        <v>45180</v>
      </c>
    </row>
    <row r="29" spans="1:7" x14ac:dyDescent="0.25">
      <c r="A29" s="2" t="s">
        <v>36</v>
      </c>
      <c r="B29" s="23">
        <v>1</v>
      </c>
      <c r="C29" s="3">
        <v>45242</v>
      </c>
      <c r="D29" s="1"/>
      <c r="E29" s="1" t="s">
        <v>38</v>
      </c>
      <c r="F29" s="23">
        <v>0.5</v>
      </c>
      <c r="G29" s="3">
        <v>45180</v>
      </c>
    </row>
    <row r="30" spans="1:7" x14ac:dyDescent="0.25">
      <c r="A30" s="2" t="s">
        <v>36</v>
      </c>
      <c r="B30" s="23">
        <v>3.5</v>
      </c>
      <c r="C30" s="3">
        <v>45243</v>
      </c>
      <c r="D30" s="1"/>
      <c r="E30" s="1" t="s">
        <v>39</v>
      </c>
      <c r="F30" s="23">
        <v>0.5</v>
      </c>
      <c r="G30" s="3">
        <v>45181</v>
      </c>
    </row>
    <row r="31" spans="1:7" x14ac:dyDescent="0.25">
      <c r="A31" s="2" t="s">
        <v>36</v>
      </c>
      <c r="B31" s="23">
        <v>2</v>
      </c>
      <c r="C31" s="3">
        <v>45245</v>
      </c>
      <c r="D31" s="1"/>
      <c r="E31" s="1" t="s">
        <v>40</v>
      </c>
      <c r="F31" s="23">
        <v>2</v>
      </c>
      <c r="G31" s="3">
        <v>45182</v>
      </c>
    </row>
    <row r="32" spans="1:7" x14ac:dyDescent="0.25">
      <c r="A32" s="2" t="s">
        <v>41</v>
      </c>
      <c r="B32" s="23">
        <v>0.75</v>
      </c>
      <c r="C32" s="8">
        <v>45263</v>
      </c>
      <c r="D32" s="1"/>
      <c r="E32" t="s">
        <v>42</v>
      </c>
      <c r="F32" s="24">
        <v>2</v>
      </c>
      <c r="G32" s="8">
        <v>45187</v>
      </c>
    </row>
    <row r="33" spans="1:7" x14ac:dyDescent="0.25">
      <c r="A33" s="2" t="s">
        <v>36</v>
      </c>
      <c r="B33" s="23">
        <v>1.5</v>
      </c>
      <c r="C33" s="3">
        <v>45264</v>
      </c>
      <c r="D33" s="1"/>
      <c r="E33" s="1" t="s">
        <v>43</v>
      </c>
      <c r="F33" s="23">
        <v>6</v>
      </c>
      <c r="G33" s="3">
        <v>45192</v>
      </c>
    </row>
    <row r="34" spans="1:7" x14ac:dyDescent="0.25">
      <c r="A34" s="2" t="s">
        <v>44</v>
      </c>
      <c r="B34" s="23">
        <v>1.5</v>
      </c>
      <c r="C34" s="3">
        <v>45265</v>
      </c>
      <c r="D34" s="1"/>
      <c r="E34" s="1" t="s">
        <v>45</v>
      </c>
      <c r="F34" s="23">
        <v>3</v>
      </c>
      <c r="G34" s="3">
        <v>45193</v>
      </c>
    </row>
    <row r="35" spans="1:7" x14ac:dyDescent="0.25">
      <c r="A35" s="2" t="s">
        <v>46</v>
      </c>
      <c r="B35" s="23">
        <v>0.75</v>
      </c>
      <c r="C35" s="3">
        <v>45293</v>
      </c>
      <c r="D35" s="1"/>
      <c r="E35" s="1" t="s">
        <v>43</v>
      </c>
      <c r="F35" s="23">
        <v>6</v>
      </c>
      <c r="G35" s="3">
        <v>45199</v>
      </c>
    </row>
    <row r="36" spans="1:7" x14ac:dyDescent="0.25">
      <c r="A36" s="2" t="s">
        <v>47</v>
      </c>
      <c r="B36" s="23">
        <v>1</v>
      </c>
      <c r="C36" s="3">
        <v>45300</v>
      </c>
      <c r="D36" s="1"/>
      <c r="E36" s="1" t="s">
        <v>43</v>
      </c>
      <c r="F36" s="23">
        <v>4.5</v>
      </c>
      <c r="G36" s="3">
        <v>45201</v>
      </c>
    </row>
    <row r="37" spans="1:7" x14ac:dyDescent="0.25">
      <c r="A37" s="2" t="s">
        <v>48</v>
      </c>
      <c r="B37" s="23">
        <v>1.5</v>
      </c>
      <c r="C37" s="3">
        <v>45314</v>
      </c>
      <c r="D37" s="1"/>
      <c r="E37" s="1" t="s">
        <v>49</v>
      </c>
      <c r="F37" s="23">
        <v>0.5</v>
      </c>
      <c r="G37" s="3">
        <v>45200</v>
      </c>
    </row>
    <row r="38" spans="1:7" x14ac:dyDescent="0.25">
      <c r="A38" s="2" t="s">
        <v>47</v>
      </c>
      <c r="B38" s="24">
        <v>3.5</v>
      </c>
      <c r="C38" s="8">
        <v>45321</v>
      </c>
      <c r="D38" s="1"/>
      <c r="E38" s="1" t="s">
        <v>49</v>
      </c>
      <c r="F38" s="23">
        <v>0.5</v>
      </c>
      <c r="G38" s="3">
        <v>45201</v>
      </c>
    </row>
    <row r="39" spans="1:7" x14ac:dyDescent="0.25">
      <c r="A39" s="2" t="s">
        <v>47</v>
      </c>
      <c r="B39" s="24">
        <v>4.5</v>
      </c>
      <c r="C39" s="8">
        <v>45325</v>
      </c>
      <c r="D39" s="1"/>
      <c r="E39" s="1" t="s">
        <v>49</v>
      </c>
      <c r="F39" s="23">
        <v>1</v>
      </c>
      <c r="G39" s="3">
        <v>45202</v>
      </c>
    </row>
    <row r="40" spans="1:7" x14ac:dyDescent="0.25">
      <c r="A40" s="2" t="s">
        <v>47</v>
      </c>
      <c r="B40" s="24">
        <v>1</v>
      </c>
      <c r="C40" s="8">
        <v>45326</v>
      </c>
      <c r="D40" s="1"/>
      <c r="E40" s="1" t="s">
        <v>43</v>
      </c>
      <c r="F40" s="23">
        <v>4.5</v>
      </c>
      <c r="G40" s="3">
        <v>45207</v>
      </c>
    </row>
    <row r="41" spans="1:7" x14ac:dyDescent="0.25">
      <c r="A41" s="2" t="s">
        <v>50</v>
      </c>
      <c r="B41" s="24">
        <v>6.75</v>
      </c>
      <c r="C41" s="8">
        <v>45328</v>
      </c>
      <c r="E41" s="1" t="s">
        <v>43</v>
      </c>
      <c r="F41" s="23">
        <v>3</v>
      </c>
      <c r="G41" s="8">
        <v>45208</v>
      </c>
    </row>
    <row r="42" spans="1:7" x14ac:dyDescent="0.25">
      <c r="A42" t="s">
        <v>51</v>
      </c>
      <c r="B42" s="24">
        <v>1</v>
      </c>
      <c r="C42" s="8">
        <v>45328</v>
      </c>
      <c r="E42" t="s">
        <v>43</v>
      </c>
      <c r="F42" s="24">
        <v>4.25</v>
      </c>
      <c r="G42" s="8">
        <v>45214</v>
      </c>
    </row>
    <row r="43" spans="1:7" x14ac:dyDescent="0.25">
      <c r="A43" s="2" t="s">
        <v>47</v>
      </c>
      <c r="B43" s="24">
        <v>1.25</v>
      </c>
      <c r="C43" s="8">
        <v>45329</v>
      </c>
      <c r="E43" t="s">
        <v>43</v>
      </c>
      <c r="F43" s="23">
        <v>1</v>
      </c>
      <c r="G43" s="8">
        <v>45215</v>
      </c>
    </row>
    <row r="44" spans="1:7" x14ac:dyDescent="0.25">
      <c r="A44" t="s">
        <v>47</v>
      </c>
      <c r="B44" s="24">
        <v>0.75</v>
      </c>
      <c r="C44" s="8">
        <v>45330</v>
      </c>
      <c r="E44" s="1" t="s">
        <v>43</v>
      </c>
      <c r="F44" s="23">
        <v>0.75</v>
      </c>
      <c r="G44" s="8">
        <v>45218</v>
      </c>
    </row>
    <row r="45" spans="1:7" x14ac:dyDescent="0.25">
      <c r="A45" s="2" t="s">
        <v>52</v>
      </c>
      <c r="B45" s="24">
        <v>2</v>
      </c>
      <c r="C45" s="8">
        <v>45331</v>
      </c>
      <c r="E45" s="1" t="s">
        <v>53</v>
      </c>
      <c r="F45" s="23">
        <v>4.5</v>
      </c>
      <c r="G45" s="8">
        <v>45221</v>
      </c>
    </row>
    <row r="46" spans="1:7" x14ac:dyDescent="0.25">
      <c r="A46" t="s">
        <v>52</v>
      </c>
      <c r="B46" s="24">
        <v>2.25</v>
      </c>
      <c r="C46" s="8">
        <v>45335</v>
      </c>
      <c r="E46" s="1" t="s">
        <v>54</v>
      </c>
      <c r="F46" s="23">
        <v>3</v>
      </c>
      <c r="G46" s="8">
        <v>45224</v>
      </c>
    </row>
    <row r="47" spans="1:7" x14ac:dyDescent="0.25">
      <c r="A47" s="2" t="s">
        <v>51</v>
      </c>
      <c r="B47" s="24">
        <v>1.5</v>
      </c>
      <c r="C47" s="8">
        <v>45348</v>
      </c>
      <c r="E47" s="1" t="s">
        <v>43</v>
      </c>
      <c r="F47" s="23">
        <v>7</v>
      </c>
      <c r="G47" s="8">
        <v>45225</v>
      </c>
    </row>
    <row r="48" spans="1:7" x14ac:dyDescent="0.25">
      <c r="A48" s="2" t="s">
        <v>36</v>
      </c>
      <c r="B48" s="24">
        <v>0.75</v>
      </c>
      <c r="C48" s="8">
        <v>45349</v>
      </c>
      <c r="E48" s="1" t="s">
        <v>43</v>
      </c>
      <c r="F48" s="24">
        <v>1.25</v>
      </c>
      <c r="G48" s="8">
        <v>45226</v>
      </c>
    </row>
    <row r="49" spans="1:10" x14ac:dyDescent="0.25">
      <c r="A49" s="2" t="s">
        <v>36</v>
      </c>
      <c r="B49" s="24">
        <v>3.5</v>
      </c>
      <c r="C49" s="8">
        <v>45350</v>
      </c>
      <c r="E49" t="s">
        <v>43</v>
      </c>
      <c r="F49" s="24">
        <v>5.5</v>
      </c>
      <c r="G49" s="8">
        <v>45227</v>
      </c>
    </row>
    <row r="50" spans="1:10" x14ac:dyDescent="0.25">
      <c r="A50" s="2" t="s">
        <v>36</v>
      </c>
      <c r="B50" s="24">
        <v>4.75</v>
      </c>
      <c r="C50" s="8">
        <v>45354</v>
      </c>
      <c r="E50" s="1" t="s">
        <v>43</v>
      </c>
      <c r="F50" s="23">
        <v>4</v>
      </c>
      <c r="G50" s="8">
        <v>45228</v>
      </c>
      <c r="J50" s="9"/>
    </row>
    <row r="51" spans="1:10" x14ac:dyDescent="0.25">
      <c r="A51" s="2" t="s">
        <v>36</v>
      </c>
      <c r="B51" s="24">
        <v>1</v>
      </c>
      <c r="C51" s="8">
        <v>45355</v>
      </c>
      <c r="E51" s="1" t="s">
        <v>55</v>
      </c>
      <c r="F51" s="23">
        <v>0.75</v>
      </c>
      <c r="G51" s="8">
        <v>45239</v>
      </c>
      <c r="J51" s="9"/>
    </row>
    <row r="52" spans="1:10" x14ac:dyDescent="0.25">
      <c r="A52" s="2" t="s">
        <v>56</v>
      </c>
      <c r="B52" s="24">
        <v>2.5</v>
      </c>
      <c r="C52" s="8">
        <v>45358</v>
      </c>
      <c r="E52" s="1" t="s">
        <v>55</v>
      </c>
      <c r="F52" s="23">
        <v>0.5</v>
      </c>
      <c r="G52" s="8">
        <v>45240</v>
      </c>
      <c r="J52" s="10"/>
    </row>
    <row r="53" spans="1:10" x14ac:dyDescent="0.25">
      <c r="A53" s="2" t="s">
        <v>57</v>
      </c>
      <c r="B53" s="24">
        <v>3</v>
      </c>
      <c r="C53" s="8">
        <v>45361</v>
      </c>
      <c r="E53" s="1" t="s">
        <v>55</v>
      </c>
      <c r="F53" s="23">
        <v>0.5</v>
      </c>
      <c r="G53" s="8">
        <v>45210</v>
      </c>
      <c r="J53" s="9"/>
    </row>
    <row r="54" spans="1:10" x14ac:dyDescent="0.25">
      <c r="B54" s="24"/>
      <c r="E54" s="1" t="s">
        <v>55</v>
      </c>
      <c r="F54" s="23">
        <v>0.5</v>
      </c>
      <c r="G54" s="8">
        <v>45211</v>
      </c>
      <c r="J54" s="9"/>
    </row>
    <row r="55" spans="1:10" x14ac:dyDescent="0.25">
      <c r="B55" s="24"/>
      <c r="E55" s="2" t="s">
        <v>58</v>
      </c>
      <c r="F55" s="23">
        <v>1</v>
      </c>
      <c r="G55" s="3">
        <v>45247</v>
      </c>
      <c r="J55" s="9"/>
    </row>
    <row r="56" spans="1:10" x14ac:dyDescent="0.25">
      <c r="B56" s="24"/>
      <c r="E56" s="1" t="s">
        <v>49</v>
      </c>
      <c r="F56" s="23">
        <v>4.5</v>
      </c>
      <c r="G56" s="8">
        <v>45248</v>
      </c>
      <c r="J56" s="9"/>
    </row>
    <row r="57" spans="1:10" x14ac:dyDescent="0.25">
      <c r="B57" s="24"/>
      <c r="E57" t="s">
        <v>59</v>
      </c>
      <c r="F57" s="24">
        <v>1</v>
      </c>
      <c r="G57" s="8">
        <v>45249</v>
      </c>
      <c r="J57" s="10"/>
    </row>
    <row r="58" spans="1:10" x14ac:dyDescent="0.25">
      <c r="B58" s="24"/>
      <c r="E58" t="s">
        <v>59</v>
      </c>
      <c r="F58" s="23">
        <v>2.5</v>
      </c>
      <c r="G58" s="8">
        <v>45251</v>
      </c>
      <c r="J58" s="10"/>
    </row>
    <row r="59" spans="1:10" x14ac:dyDescent="0.25">
      <c r="B59" s="24"/>
      <c r="E59" t="s">
        <v>59</v>
      </c>
      <c r="F59" s="23">
        <v>3</v>
      </c>
      <c r="G59" s="8">
        <v>45252</v>
      </c>
      <c r="J59" s="10"/>
    </row>
    <row r="60" spans="1:10" x14ac:dyDescent="0.25">
      <c r="B60" s="24"/>
      <c r="E60" t="s">
        <v>59</v>
      </c>
      <c r="F60" s="23">
        <v>1</v>
      </c>
      <c r="G60" s="8">
        <v>45254</v>
      </c>
      <c r="J60" s="10"/>
    </row>
    <row r="61" spans="1:10" x14ac:dyDescent="0.25">
      <c r="B61" s="24"/>
      <c r="E61" t="s">
        <v>60</v>
      </c>
      <c r="F61" s="23">
        <v>2</v>
      </c>
      <c r="G61" s="8">
        <v>45255</v>
      </c>
      <c r="J61" s="10"/>
    </row>
    <row r="62" spans="1:10" x14ac:dyDescent="0.25">
      <c r="B62" s="24"/>
      <c r="E62" t="s">
        <v>60</v>
      </c>
      <c r="F62" s="24">
        <v>4</v>
      </c>
      <c r="G62" s="8">
        <v>45256</v>
      </c>
      <c r="J62" s="10"/>
    </row>
    <row r="63" spans="1:10" x14ac:dyDescent="0.25">
      <c r="B63" s="24"/>
      <c r="E63" t="s">
        <v>59</v>
      </c>
      <c r="F63" s="24">
        <v>1</v>
      </c>
      <c r="G63" s="8">
        <v>45257</v>
      </c>
      <c r="J63" s="10"/>
    </row>
    <row r="64" spans="1:10" x14ac:dyDescent="0.25">
      <c r="B64" s="24"/>
      <c r="E64" t="s">
        <v>59</v>
      </c>
      <c r="F64" s="24">
        <v>1.75</v>
      </c>
      <c r="G64" s="8">
        <v>45258</v>
      </c>
      <c r="J64" s="10"/>
    </row>
    <row r="65" spans="2:10" x14ac:dyDescent="0.25">
      <c r="B65" s="24"/>
      <c r="E65" t="s">
        <v>60</v>
      </c>
      <c r="F65" s="24">
        <v>1.5</v>
      </c>
      <c r="G65" s="8">
        <v>45259</v>
      </c>
      <c r="J65" s="10"/>
    </row>
    <row r="66" spans="2:10" x14ac:dyDescent="0.25">
      <c r="B66" s="24"/>
      <c r="E66" t="s">
        <v>59</v>
      </c>
      <c r="F66" s="24">
        <v>1.5</v>
      </c>
      <c r="G66" s="8">
        <v>45260</v>
      </c>
      <c r="J66" s="10"/>
    </row>
    <row r="67" spans="2:10" x14ac:dyDescent="0.25">
      <c r="B67" s="24"/>
      <c r="E67" t="s">
        <v>59</v>
      </c>
      <c r="F67" s="24">
        <v>1.5</v>
      </c>
      <c r="G67" s="8">
        <v>45261</v>
      </c>
      <c r="J67" s="10"/>
    </row>
    <row r="68" spans="2:10" x14ac:dyDescent="0.25">
      <c r="B68" s="24"/>
      <c r="E68" t="s">
        <v>7</v>
      </c>
      <c r="F68" s="24">
        <v>0.3</v>
      </c>
      <c r="G68" s="8">
        <v>45263</v>
      </c>
      <c r="J68" s="10"/>
    </row>
    <row r="69" spans="2:10" x14ac:dyDescent="0.25">
      <c r="B69" s="24"/>
      <c r="E69" t="s">
        <v>61</v>
      </c>
      <c r="F69" s="24">
        <v>2.5</v>
      </c>
      <c r="G69" s="8">
        <v>45263</v>
      </c>
      <c r="J69" s="10"/>
    </row>
    <row r="70" spans="2:10" x14ac:dyDescent="0.25">
      <c r="B70" s="24"/>
      <c r="E70" t="s">
        <v>62</v>
      </c>
      <c r="F70" s="24">
        <v>2.5</v>
      </c>
      <c r="G70" s="8">
        <v>45266</v>
      </c>
      <c r="J70" s="10"/>
    </row>
    <row r="71" spans="2:10" x14ac:dyDescent="0.25">
      <c r="B71" s="24"/>
      <c r="E71" t="s">
        <v>62</v>
      </c>
      <c r="F71" s="24">
        <v>4</v>
      </c>
      <c r="G71" s="8">
        <v>45267</v>
      </c>
      <c r="J71" s="10"/>
    </row>
    <row r="72" spans="2:10" x14ac:dyDescent="0.25">
      <c r="B72" s="24"/>
      <c r="E72" t="s">
        <v>62</v>
      </c>
      <c r="F72" s="24">
        <v>6</v>
      </c>
      <c r="G72" s="8">
        <v>45268</v>
      </c>
      <c r="J72" s="10"/>
    </row>
    <row r="73" spans="2:10" x14ac:dyDescent="0.25">
      <c r="B73" s="24"/>
      <c r="E73" t="s">
        <v>62</v>
      </c>
      <c r="F73" s="24">
        <v>4</v>
      </c>
      <c r="G73" s="8">
        <v>45269</v>
      </c>
      <c r="J73" s="10"/>
    </row>
    <row r="74" spans="2:10" x14ac:dyDescent="0.25">
      <c r="B74" s="24"/>
      <c r="E74" t="s">
        <v>60</v>
      </c>
      <c r="F74" s="24">
        <v>2</v>
      </c>
      <c r="G74" s="8">
        <v>45269</v>
      </c>
    </row>
    <row r="75" spans="2:10" x14ac:dyDescent="0.25">
      <c r="B75" s="24"/>
      <c r="E75" t="s">
        <v>60</v>
      </c>
      <c r="F75" s="24">
        <v>2.25</v>
      </c>
      <c r="G75" s="8">
        <v>45270</v>
      </c>
    </row>
    <row r="76" spans="2:10" x14ac:dyDescent="0.25">
      <c r="B76" s="24"/>
      <c r="E76" t="s">
        <v>43</v>
      </c>
      <c r="F76" s="24">
        <v>2.25</v>
      </c>
      <c r="G76" s="8">
        <v>45271</v>
      </c>
    </row>
    <row r="77" spans="2:10" x14ac:dyDescent="0.25">
      <c r="B77" s="24"/>
      <c r="E77" t="s">
        <v>62</v>
      </c>
      <c r="F77" s="24">
        <v>1.25</v>
      </c>
      <c r="G77" s="8">
        <v>45271</v>
      </c>
    </row>
    <row r="78" spans="2:10" x14ac:dyDescent="0.25">
      <c r="B78" s="24"/>
      <c r="E78" t="s">
        <v>60</v>
      </c>
      <c r="F78" s="24">
        <v>2.5</v>
      </c>
      <c r="G78" s="8">
        <v>45273</v>
      </c>
    </row>
    <row r="79" spans="2:10" x14ac:dyDescent="0.25">
      <c r="B79" s="24"/>
      <c r="E79" t="s">
        <v>59</v>
      </c>
      <c r="F79" s="24">
        <v>1</v>
      </c>
      <c r="G79" s="8">
        <v>45275</v>
      </c>
    </row>
    <row r="80" spans="2:10" x14ac:dyDescent="0.25">
      <c r="B80" s="24"/>
      <c r="E80" t="s">
        <v>63</v>
      </c>
      <c r="F80" s="24">
        <v>0.5</v>
      </c>
      <c r="G80" s="8">
        <v>45276</v>
      </c>
    </row>
    <row r="81" spans="2:7" x14ac:dyDescent="0.25">
      <c r="B81" s="24"/>
      <c r="E81" t="s">
        <v>59</v>
      </c>
      <c r="F81" s="24">
        <v>0.25</v>
      </c>
      <c r="G81" s="8">
        <v>45280</v>
      </c>
    </row>
    <row r="82" spans="2:7" x14ac:dyDescent="0.25">
      <c r="B82" s="24"/>
      <c r="E82" t="s">
        <v>59</v>
      </c>
      <c r="F82" s="24">
        <v>2.5</v>
      </c>
      <c r="G82" s="8">
        <v>45281</v>
      </c>
    </row>
    <row r="83" spans="2:7" x14ac:dyDescent="0.25">
      <c r="B83" s="24"/>
      <c r="E83" t="s">
        <v>60</v>
      </c>
      <c r="F83" s="24">
        <v>0.25</v>
      </c>
      <c r="G83" s="8">
        <v>45282</v>
      </c>
    </row>
    <row r="84" spans="2:7" x14ac:dyDescent="0.25">
      <c r="B84" s="24"/>
      <c r="E84" t="s">
        <v>7</v>
      </c>
      <c r="F84" s="24">
        <v>1</v>
      </c>
      <c r="G84" s="8">
        <v>45282</v>
      </c>
    </row>
    <row r="85" spans="2:7" x14ac:dyDescent="0.25">
      <c r="B85" s="24"/>
      <c r="E85" t="s">
        <v>59</v>
      </c>
      <c r="F85" s="24">
        <v>1.75</v>
      </c>
      <c r="G85" s="8">
        <v>45283</v>
      </c>
    </row>
    <row r="86" spans="2:7" x14ac:dyDescent="0.25">
      <c r="B86" s="24"/>
      <c r="E86" t="s">
        <v>64</v>
      </c>
      <c r="F86" s="24">
        <v>1.5</v>
      </c>
      <c r="G86" s="8">
        <v>45284</v>
      </c>
    </row>
    <row r="87" spans="2:7" x14ac:dyDescent="0.25">
      <c r="B87" s="24"/>
      <c r="E87" t="s">
        <v>63</v>
      </c>
      <c r="F87" s="24">
        <v>1</v>
      </c>
      <c r="G87" s="8">
        <v>45285</v>
      </c>
    </row>
    <row r="88" spans="2:7" x14ac:dyDescent="0.25">
      <c r="B88" s="24"/>
      <c r="E88" t="s">
        <v>60</v>
      </c>
      <c r="F88" s="24">
        <v>2.5</v>
      </c>
      <c r="G88" s="8">
        <v>45287</v>
      </c>
    </row>
    <row r="89" spans="2:7" x14ac:dyDescent="0.25">
      <c r="B89" s="24"/>
      <c r="E89" t="s">
        <v>61</v>
      </c>
      <c r="F89" s="24">
        <v>1</v>
      </c>
      <c r="G89" s="8">
        <v>45288</v>
      </c>
    </row>
    <row r="90" spans="2:7" x14ac:dyDescent="0.25">
      <c r="B90" s="24"/>
      <c r="E90" t="s">
        <v>60</v>
      </c>
      <c r="F90" s="24">
        <v>2.25</v>
      </c>
      <c r="G90" s="8">
        <v>45290</v>
      </c>
    </row>
    <row r="91" spans="2:7" x14ac:dyDescent="0.25">
      <c r="B91" s="24"/>
      <c r="E91" t="s">
        <v>61</v>
      </c>
      <c r="F91" s="24">
        <v>1.25</v>
      </c>
      <c r="G91" s="8">
        <v>45291</v>
      </c>
    </row>
    <row r="92" spans="2:7" x14ac:dyDescent="0.25">
      <c r="B92" s="24"/>
      <c r="E92" t="s">
        <v>65</v>
      </c>
      <c r="F92" s="24">
        <v>0.25</v>
      </c>
      <c r="G92" s="8">
        <v>45291</v>
      </c>
    </row>
    <row r="93" spans="2:7" x14ac:dyDescent="0.25">
      <c r="B93" s="24"/>
      <c r="E93" t="s">
        <v>59</v>
      </c>
      <c r="F93" s="24">
        <v>0.5</v>
      </c>
      <c r="G93" s="8">
        <v>45296</v>
      </c>
    </row>
    <row r="94" spans="2:7" x14ac:dyDescent="0.25">
      <c r="B94" s="24"/>
      <c r="E94" t="s">
        <v>59</v>
      </c>
      <c r="F94" s="24">
        <v>3.25</v>
      </c>
      <c r="G94" s="8">
        <v>44932</v>
      </c>
    </row>
    <row r="95" spans="2:7" x14ac:dyDescent="0.25">
      <c r="B95" s="24"/>
      <c r="E95" t="s">
        <v>66</v>
      </c>
      <c r="F95" s="24">
        <v>1</v>
      </c>
      <c r="G95" s="8">
        <v>45297</v>
      </c>
    </row>
    <row r="96" spans="2:7" x14ac:dyDescent="0.25">
      <c r="B96" s="24"/>
      <c r="E96" t="s">
        <v>60</v>
      </c>
      <c r="F96" s="24">
        <v>1.25</v>
      </c>
      <c r="G96" s="8">
        <v>45298</v>
      </c>
    </row>
    <row r="97" spans="1:7" x14ac:dyDescent="0.25">
      <c r="B97" s="24"/>
      <c r="E97" t="s">
        <v>67</v>
      </c>
      <c r="F97" s="24">
        <v>0.75</v>
      </c>
      <c r="G97" s="8">
        <v>45298</v>
      </c>
    </row>
    <row r="98" spans="1:7" x14ac:dyDescent="0.25">
      <c r="B98" s="24"/>
      <c r="E98" t="s">
        <v>66</v>
      </c>
      <c r="F98" s="24">
        <v>1.75</v>
      </c>
      <c r="G98" s="8">
        <v>45298</v>
      </c>
    </row>
    <row r="99" spans="1:7" x14ac:dyDescent="0.25">
      <c r="B99" s="24"/>
      <c r="E99" t="s">
        <v>68</v>
      </c>
      <c r="F99" s="24">
        <v>1.5</v>
      </c>
      <c r="G99" s="8">
        <v>45343</v>
      </c>
    </row>
    <row r="100" spans="1:7" x14ac:dyDescent="0.25">
      <c r="B100" s="24"/>
      <c r="E100" t="s">
        <v>69</v>
      </c>
      <c r="F100" s="24">
        <v>3</v>
      </c>
      <c r="G100" s="8">
        <v>45344</v>
      </c>
    </row>
    <row r="101" spans="1:7" x14ac:dyDescent="0.25">
      <c r="B101" s="24"/>
      <c r="E101" t="s">
        <v>66</v>
      </c>
      <c r="F101" s="24">
        <v>2</v>
      </c>
      <c r="G101" s="8">
        <v>45345</v>
      </c>
    </row>
    <row r="102" spans="1:7" x14ac:dyDescent="0.25">
      <c r="B102" s="24"/>
      <c r="E102" t="s">
        <v>66</v>
      </c>
      <c r="F102" s="24">
        <v>0.45</v>
      </c>
      <c r="G102" s="8">
        <v>45346</v>
      </c>
    </row>
    <row r="103" spans="1:7" x14ac:dyDescent="0.25">
      <c r="A103" s="1"/>
      <c r="B103" s="23"/>
      <c r="C103" s="1"/>
      <c r="D103" s="1"/>
      <c r="E103" s="1"/>
      <c r="F103" s="23"/>
      <c r="G103" s="1"/>
    </row>
    <row r="104" spans="1:7" x14ac:dyDescent="0.25">
      <c r="A104" s="1" t="s">
        <v>36</v>
      </c>
      <c r="B104" s="23">
        <v>2</v>
      </c>
      <c r="C104" s="3">
        <v>45388</v>
      </c>
      <c r="D104" s="1"/>
      <c r="E104" t="s">
        <v>70</v>
      </c>
      <c r="F104" s="24">
        <v>4</v>
      </c>
      <c r="G104" s="8">
        <v>45441</v>
      </c>
    </row>
    <row r="105" spans="1:7" x14ac:dyDescent="0.25">
      <c r="A105" s="2" t="s">
        <v>36</v>
      </c>
      <c r="B105" s="23">
        <v>3</v>
      </c>
      <c r="C105" s="3">
        <v>45400</v>
      </c>
      <c r="D105" s="1"/>
      <c r="E105" t="s">
        <v>70</v>
      </c>
      <c r="F105" s="24">
        <v>1.5</v>
      </c>
      <c r="G105" s="8">
        <v>45442</v>
      </c>
    </row>
    <row r="106" spans="1:7" x14ac:dyDescent="0.25">
      <c r="A106" s="8" t="s">
        <v>36</v>
      </c>
      <c r="B106" s="24">
        <v>1.5</v>
      </c>
      <c r="C106" s="8">
        <v>45406</v>
      </c>
      <c r="E106" t="s">
        <v>71</v>
      </c>
      <c r="F106" s="24">
        <v>0.75</v>
      </c>
      <c r="G106" s="8">
        <v>45442</v>
      </c>
    </row>
    <row r="107" spans="1:7" x14ac:dyDescent="0.25">
      <c r="A107" t="s">
        <v>36</v>
      </c>
      <c r="B107" s="23">
        <v>5</v>
      </c>
      <c r="C107" s="8">
        <v>45410</v>
      </c>
      <c r="E107" t="s">
        <v>71</v>
      </c>
      <c r="F107" s="24">
        <v>3</v>
      </c>
      <c r="G107" s="8">
        <v>45449</v>
      </c>
    </row>
    <row r="108" spans="1:7" x14ac:dyDescent="0.25">
      <c r="A108" t="s">
        <v>36</v>
      </c>
      <c r="B108" s="25">
        <v>1</v>
      </c>
      <c r="C108" s="8">
        <v>45412</v>
      </c>
      <c r="E108" t="s">
        <v>72</v>
      </c>
      <c r="F108" s="24">
        <v>2.5</v>
      </c>
      <c r="G108" s="8">
        <v>45452</v>
      </c>
    </row>
    <row r="109" spans="1:7" x14ac:dyDescent="0.25">
      <c r="A109" t="s">
        <v>36</v>
      </c>
      <c r="B109" s="23">
        <v>2</v>
      </c>
      <c r="C109" s="8">
        <v>45418</v>
      </c>
      <c r="E109" t="s">
        <v>73</v>
      </c>
      <c r="F109" s="24">
        <v>1</v>
      </c>
      <c r="G109" s="8">
        <v>45455</v>
      </c>
    </row>
    <row r="110" spans="1:7" x14ac:dyDescent="0.25">
      <c r="A110" t="s">
        <v>36</v>
      </c>
      <c r="B110" s="23">
        <v>1</v>
      </c>
      <c r="C110" s="8">
        <v>45425</v>
      </c>
      <c r="E110" t="s">
        <v>74</v>
      </c>
      <c r="F110" s="24">
        <v>1.5</v>
      </c>
      <c r="G110" s="8">
        <v>45504</v>
      </c>
    </row>
    <row r="111" spans="1:7" x14ac:dyDescent="0.25">
      <c r="A111" t="s">
        <v>36</v>
      </c>
      <c r="B111" s="25">
        <v>1</v>
      </c>
      <c r="C111" s="8">
        <v>45426</v>
      </c>
      <c r="E111" t="s">
        <v>70</v>
      </c>
      <c r="F111" s="24">
        <v>1.5</v>
      </c>
      <c r="G111" s="8">
        <v>45517</v>
      </c>
    </row>
    <row r="112" spans="1:7" x14ac:dyDescent="0.25">
      <c r="A112" t="s">
        <v>36</v>
      </c>
      <c r="B112" s="25">
        <v>2.5</v>
      </c>
      <c r="C112" s="8">
        <v>45427</v>
      </c>
      <c r="E112" t="s">
        <v>70</v>
      </c>
      <c r="F112" s="24">
        <v>2.5</v>
      </c>
      <c r="G112" s="8">
        <v>45518</v>
      </c>
    </row>
    <row r="113" spans="1:7" x14ac:dyDescent="0.25">
      <c r="A113" t="s">
        <v>36</v>
      </c>
      <c r="B113" s="23">
        <v>1.75</v>
      </c>
      <c r="C113" s="8">
        <v>45428</v>
      </c>
      <c r="E113" t="s">
        <v>70</v>
      </c>
      <c r="F113" s="24">
        <v>3.5</v>
      </c>
      <c r="G113" s="8">
        <v>45522</v>
      </c>
    </row>
    <row r="114" spans="1:7" x14ac:dyDescent="0.25">
      <c r="A114" t="s">
        <v>36</v>
      </c>
      <c r="B114" s="25">
        <v>2</v>
      </c>
      <c r="C114" s="8">
        <v>45431</v>
      </c>
      <c r="E114" t="s">
        <v>70</v>
      </c>
      <c r="F114" s="24">
        <v>2</v>
      </c>
      <c r="G114" s="8">
        <v>45524</v>
      </c>
    </row>
    <row r="115" spans="1:7" x14ac:dyDescent="0.25">
      <c r="A115" t="s">
        <v>36</v>
      </c>
      <c r="B115" s="24">
        <v>1.5</v>
      </c>
      <c r="C115" s="8">
        <v>45453</v>
      </c>
      <c r="E115" t="s">
        <v>70</v>
      </c>
      <c r="F115" s="24">
        <v>1</v>
      </c>
      <c r="G115" s="8">
        <v>45525</v>
      </c>
    </row>
    <row r="116" spans="1:7" x14ac:dyDescent="0.25">
      <c r="A116" t="s">
        <v>36</v>
      </c>
      <c r="B116" s="24">
        <v>1</v>
      </c>
      <c r="C116" s="8">
        <v>45455</v>
      </c>
      <c r="E116" t="s">
        <v>75</v>
      </c>
      <c r="F116" s="24">
        <v>2</v>
      </c>
      <c r="G116" s="8">
        <v>45525</v>
      </c>
    </row>
    <row r="117" spans="1:7" x14ac:dyDescent="0.25">
      <c r="A117" t="s">
        <v>36</v>
      </c>
      <c r="B117" s="25">
        <v>3.5</v>
      </c>
      <c r="C117" s="8">
        <v>45457</v>
      </c>
      <c r="E117" t="s">
        <v>76</v>
      </c>
      <c r="F117" s="24">
        <v>1</v>
      </c>
      <c r="G117" s="8">
        <v>45526</v>
      </c>
    </row>
    <row r="118" spans="1:7" x14ac:dyDescent="0.25">
      <c r="A118" t="s">
        <v>36</v>
      </c>
      <c r="B118" s="25">
        <v>2.5</v>
      </c>
      <c r="C118" s="8">
        <v>45459</v>
      </c>
      <c r="E118" t="s">
        <v>77</v>
      </c>
      <c r="F118" s="24">
        <v>2</v>
      </c>
      <c r="G118" s="8">
        <v>45531</v>
      </c>
    </row>
    <row r="119" spans="1:7" x14ac:dyDescent="0.25">
      <c r="A119" t="s">
        <v>36</v>
      </c>
      <c r="B119" s="25">
        <v>2</v>
      </c>
      <c r="C119" s="8">
        <v>45460</v>
      </c>
      <c r="E119" t="s">
        <v>78</v>
      </c>
      <c r="F119" s="24">
        <v>1.5</v>
      </c>
      <c r="G119" s="8">
        <v>45532</v>
      </c>
    </row>
    <row r="120" spans="1:7" x14ac:dyDescent="0.25">
      <c r="A120" t="s">
        <v>36</v>
      </c>
      <c r="B120" s="25">
        <v>1</v>
      </c>
      <c r="C120" s="8">
        <v>45461</v>
      </c>
      <c r="E120" t="s">
        <v>79</v>
      </c>
      <c r="F120" s="24">
        <v>3</v>
      </c>
      <c r="G120" s="8">
        <v>45534</v>
      </c>
    </row>
    <row r="121" spans="1:7" x14ac:dyDescent="0.25">
      <c r="A121" t="s">
        <v>36</v>
      </c>
      <c r="B121" s="25">
        <v>2</v>
      </c>
      <c r="C121" s="8">
        <v>45462</v>
      </c>
      <c r="E121" t="s">
        <v>79</v>
      </c>
      <c r="F121" s="24">
        <v>1.75</v>
      </c>
      <c r="G121" s="8">
        <v>45536</v>
      </c>
    </row>
    <row r="122" spans="1:7" x14ac:dyDescent="0.25">
      <c r="A122" t="s">
        <v>36</v>
      </c>
      <c r="B122" s="25">
        <v>0.5</v>
      </c>
      <c r="C122" s="8">
        <v>45463</v>
      </c>
      <c r="E122" t="s">
        <v>80</v>
      </c>
      <c r="F122" s="24">
        <v>1.5</v>
      </c>
      <c r="G122" s="8">
        <v>45548</v>
      </c>
    </row>
    <row r="123" spans="1:7" x14ac:dyDescent="0.25">
      <c r="A123" t="s">
        <v>81</v>
      </c>
      <c r="B123" s="24">
        <v>1.5</v>
      </c>
      <c r="C123" s="8">
        <v>45469</v>
      </c>
      <c r="E123" t="s">
        <v>80</v>
      </c>
      <c r="F123" s="24">
        <v>4</v>
      </c>
      <c r="G123" s="8">
        <v>45557</v>
      </c>
    </row>
    <row r="124" spans="1:7" x14ac:dyDescent="0.25">
      <c r="A124" t="s">
        <v>82</v>
      </c>
      <c r="B124" s="25">
        <v>1</v>
      </c>
      <c r="C124" s="8">
        <v>45471</v>
      </c>
      <c r="E124" t="s">
        <v>80</v>
      </c>
      <c r="F124" s="24">
        <v>1.5</v>
      </c>
      <c r="G124" s="8">
        <v>45560</v>
      </c>
    </row>
    <row r="125" spans="1:7" x14ac:dyDescent="0.25">
      <c r="A125" t="s">
        <v>83</v>
      </c>
      <c r="B125" s="25">
        <v>1</v>
      </c>
      <c r="C125" s="8">
        <v>45489</v>
      </c>
      <c r="E125" t="s">
        <v>80</v>
      </c>
      <c r="F125" s="24">
        <v>0.5</v>
      </c>
      <c r="G125" s="8">
        <v>45574</v>
      </c>
    </row>
    <row r="126" spans="1:7" x14ac:dyDescent="0.25">
      <c r="A126" t="s">
        <v>84</v>
      </c>
      <c r="B126" s="25">
        <v>3</v>
      </c>
      <c r="C126" s="8">
        <v>45490</v>
      </c>
      <c r="E126" t="s">
        <v>85</v>
      </c>
      <c r="F126" s="24">
        <v>3.5</v>
      </c>
      <c r="G126" s="8">
        <v>45604</v>
      </c>
    </row>
    <row r="127" spans="1:7" x14ac:dyDescent="0.25">
      <c r="A127" t="s">
        <v>84</v>
      </c>
      <c r="B127" s="25">
        <v>1.5</v>
      </c>
      <c r="C127" s="8">
        <v>45493</v>
      </c>
      <c r="E127" t="s">
        <v>86</v>
      </c>
      <c r="F127" s="24">
        <v>4</v>
      </c>
      <c r="G127" s="8">
        <v>45607</v>
      </c>
    </row>
    <row r="128" spans="1:7" x14ac:dyDescent="0.25">
      <c r="A128" t="s">
        <v>84</v>
      </c>
      <c r="B128" s="25">
        <v>5.5</v>
      </c>
      <c r="C128" s="8">
        <v>45494</v>
      </c>
      <c r="E128" t="s">
        <v>87</v>
      </c>
      <c r="F128" s="24">
        <v>0.75</v>
      </c>
      <c r="G128" s="8">
        <v>45611</v>
      </c>
    </row>
    <row r="129" spans="1:11" x14ac:dyDescent="0.25">
      <c r="A129" t="s">
        <v>88</v>
      </c>
      <c r="B129" s="25">
        <v>2.5</v>
      </c>
      <c r="C129" s="8">
        <v>45495</v>
      </c>
      <c r="E129" t="s">
        <v>86</v>
      </c>
      <c r="F129" s="24">
        <v>2.5</v>
      </c>
      <c r="G129" s="8">
        <v>45613</v>
      </c>
    </row>
    <row r="130" spans="1:11" x14ac:dyDescent="0.25">
      <c r="A130" t="s">
        <v>84</v>
      </c>
      <c r="B130" s="25">
        <v>2.5</v>
      </c>
      <c r="C130" s="8">
        <v>45496</v>
      </c>
      <c r="E130" t="s">
        <v>86</v>
      </c>
      <c r="F130" s="24">
        <v>1.25</v>
      </c>
      <c r="G130" s="8">
        <v>45614</v>
      </c>
    </row>
    <row r="131" spans="1:11" x14ac:dyDescent="0.25">
      <c r="A131" t="s">
        <v>89</v>
      </c>
      <c r="B131" s="25">
        <v>2</v>
      </c>
      <c r="C131" s="8">
        <v>45497</v>
      </c>
      <c r="E131" t="s">
        <v>85</v>
      </c>
      <c r="F131" s="24">
        <v>1.5</v>
      </c>
      <c r="G131" s="8">
        <v>45617</v>
      </c>
      <c r="K131" s="10"/>
    </row>
    <row r="132" spans="1:11" x14ac:dyDescent="0.25">
      <c r="A132" t="s">
        <v>84</v>
      </c>
      <c r="B132" s="25">
        <v>1</v>
      </c>
      <c r="C132" s="8">
        <v>45497</v>
      </c>
      <c r="E132" t="s">
        <v>512</v>
      </c>
      <c r="F132" s="24">
        <v>1</v>
      </c>
      <c r="G132" s="8">
        <v>45622</v>
      </c>
    </row>
    <row r="133" spans="1:11" x14ac:dyDescent="0.25">
      <c r="A133" t="s">
        <v>89</v>
      </c>
      <c r="B133" s="25">
        <v>3</v>
      </c>
      <c r="C133" s="8">
        <v>45499</v>
      </c>
      <c r="E133" t="s">
        <v>86</v>
      </c>
      <c r="F133" s="24">
        <v>1</v>
      </c>
      <c r="G133" s="8">
        <v>45622</v>
      </c>
    </row>
    <row r="134" spans="1:11" x14ac:dyDescent="0.25">
      <c r="A134" t="s">
        <v>89</v>
      </c>
      <c r="B134" s="25">
        <v>1.5</v>
      </c>
      <c r="C134" s="8">
        <v>45500</v>
      </c>
      <c r="E134" t="s">
        <v>513</v>
      </c>
      <c r="F134" s="24">
        <v>1</v>
      </c>
      <c r="G134" s="8">
        <v>45622</v>
      </c>
    </row>
    <row r="135" spans="1:11" x14ac:dyDescent="0.25">
      <c r="A135" t="s">
        <v>89</v>
      </c>
      <c r="B135" s="25">
        <v>1.5</v>
      </c>
      <c r="C135" s="8">
        <v>45501</v>
      </c>
      <c r="E135" t="s">
        <v>70</v>
      </c>
      <c r="F135" s="24">
        <v>5.5</v>
      </c>
      <c r="G135" s="8">
        <v>45623</v>
      </c>
    </row>
    <row r="136" spans="1:11" x14ac:dyDescent="0.25">
      <c r="A136" t="s">
        <v>89</v>
      </c>
      <c r="B136" s="25">
        <v>1.75</v>
      </c>
      <c r="C136" s="8">
        <v>45502</v>
      </c>
      <c r="E136" t="s">
        <v>402</v>
      </c>
      <c r="F136" s="24">
        <v>1.5</v>
      </c>
      <c r="G136" s="8">
        <v>45624</v>
      </c>
    </row>
    <row r="137" spans="1:11" x14ac:dyDescent="0.25">
      <c r="A137" t="s">
        <v>90</v>
      </c>
      <c r="B137" s="25">
        <v>1.5</v>
      </c>
      <c r="C137" s="8">
        <v>45519</v>
      </c>
      <c r="E137" t="s">
        <v>70</v>
      </c>
      <c r="F137" s="24">
        <v>3.5</v>
      </c>
      <c r="G137" s="8">
        <v>45625</v>
      </c>
    </row>
    <row r="138" spans="1:11" x14ac:dyDescent="0.25">
      <c r="A138" t="s">
        <v>91</v>
      </c>
      <c r="B138" s="25">
        <v>1.5</v>
      </c>
      <c r="C138" s="8">
        <v>45520</v>
      </c>
      <c r="E138" t="s">
        <v>70</v>
      </c>
      <c r="F138" s="24">
        <v>4.25</v>
      </c>
      <c r="G138" s="8">
        <v>45627</v>
      </c>
    </row>
    <row r="139" spans="1:11" x14ac:dyDescent="0.25">
      <c r="A139" t="s">
        <v>36</v>
      </c>
      <c r="B139" s="25">
        <v>3</v>
      </c>
      <c r="C139" s="8">
        <v>45537</v>
      </c>
      <c r="E139" t="s">
        <v>70</v>
      </c>
      <c r="F139" s="24">
        <v>4</v>
      </c>
      <c r="G139" s="8">
        <v>45628</v>
      </c>
    </row>
    <row r="140" spans="1:11" ht="14.25" customHeight="1" x14ac:dyDescent="0.25">
      <c r="A140" t="s">
        <v>36</v>
      </c>
      <c r="B140" s="25">
        <v>2</v>
      </c>
      <c r="C140" s="8">
        <v>45538</v>
      </c>
      <c r="E140" t="s">
        <v>70</v>
      </c>
      <c r="F140" s="24">
        <v>2.5</v>
      </c>
      <c r="G140" s="8">
        <v>45629</v>
      </c>
    </row>
    <row r="141" spans="1:11" ht="14.25" customHeight="1" x14ac:dyDescent="0.25">
      <c r="A141" t="s">
        <v>36</v>
      </c>
      <c r="B141" s="25">
        <v>1.75</v>
      </c>
      <c r="C141" s="8">
        <v>45539</v>
      </c>
      <c r="E141" t="s">
        <v>514</v>
      </c>
      <c r="F141" s="24">
        <v>2.5</v>
      </c>
      <c r="G141" s="8">
        <v>45633</v>
      </c>
    </row>
    <row r="142" spans="1:11" ht="14.25" customHeight="1" x14ac:dyDescent="0.25">
      <c r="A142" t="s">
        <v>36</v>
      </c>
      <c r="B142" s="25">
        <v>1</v>
      </c>
      <c r="C142" s="8">
        <v>45542</v>
      </c>
      <c r="E142" t="s">
        <v>514</v>
      </c>
      <c r="F142" s="24">
        <v>1</v>
      </c>
      <c r="G142" s="8">
        <v>45634</v>
      </c>
    </row>
    <row r="143" spans="1:11" ht="14.25" customHeight="1" x14ac:dyDescent="0.25">
      <c r="A143" t="s">
        <v>92</v>
      </c>
      <c r="B143" s="25">
        <v>0.5</v>
      </c>
      <c r="C143" s="8">
        <v>45543</v>
      </c>
      <c r="E143" t="s">
        <v>74</v>
      </c>
      <c r="F143" s="24">
        <v>2.25</v>
      </c>
      <c r="G143" s="8">
        <v>45647</v>
      </c>
    </row>
    <row r="144" spans="1:11" x14ac:dyDescent="0.25">
      <c r="A144" t="s">
        <v>36</v>
      </c>
      <c r="B144" s="25">
        <v>0.5</v>
      </c>
      <c r="C144" s="8">
        <v>45543</v>
      </c>
      <c r="E144" t="s">
        <v>515</v>
      </c>
      <c r="F144" s="24">
        <v>4.25</v>
      </c>
      <c r="G144" s="30">
        <v>45648</v>
      </c>
    </row>
    <row r="145" spans="1:9" x14ac:dyDescent="0.25">
      <c r="A145" t="s">
        <v>36</v>
      </c>
      <c r="B145" s="24">
        <v>4.5</v>
      </c>
      <c r="C145" s="8">
        <v>45544</v>
      </c>
      <c r="E145" t="s">
        <v>515</v>
      </c>
      <c r="F145" s="24">
        <v>1.5</v>
      </c>
      <c r="G145" s="32">
        <v>45649</v>
      </c>
    </row>
    <row r="146" spans="1:9" x14ac:dyDescent="0.25">
      <c r="A146" t="s">
        <v>36</v>
      </c>
      <c r="B146" s="24">
        <v>2.75</v>
      </c>
      <c r="C146" s="8">
        <v>45545</v>
      </c>
      <c r="E146" t="s">
        <v>515</v>
      </c>
      <c r="F146" s="24">
        <v>1.5</v>
      </c>
      <c r="G146" s="8">
        <v>45650</v>
      </c>
    </row>
    <row r="147" spans="1:9" x14ac:dyDescent="0.25">
      <c r="A147" t="s">
        <v>36</v>
      </c>
      <c r="B147" s="24">
        <v>4</v>
      </c>
      <c r="C147" s="8">
        <v>45552</v>
      </c>
      <c r="E147" t="s">
        <v>516</v>
      </c>
      <c r="F147" s="24">
        <v>4.5</v>
      </c>
      <c r="G147" s="8">
        <v>45651</v>
      </c>
    </row>
    <row r="148" spans="1:9" x14ac:dyDescent="0.25">
      <c r="A148" t="s">
        <v>36</v>
      </c>
      <c r="B148" s="24">
        <v>3.25</v>
      </c>
      <c r="C148" s="8">
        <v>45554</v>
      </c>
      <c r="E148" t="s">
        <v>517</v>
      </c>
      <c r="F148" s="24">
        <v>1</v>
      </c>
      <c r="G148" s="8">
        <v>45660</v>
      </c>
    </row>
    <row r="149" spans="1:9" x14ac:dyDescent="0.25">
      <c r="A149" t="s">
        <v>36</v>
      </c>
      <c r="B149" s="24">
        <v>2</v>
      </c>
      <c r="C149" s="8">
        <v>45562</v>
      </c>
      <c r="E149" t="s">
        <v>517</v>
      </c>
      <c r="F149" s="24">
        <v>3</v>
      </c>
      <c r="G149" s="8">
        <v>45661</v>
      </c>
    </row>
    <row r="150" spans="1:9" x14ac:dyDescent="0.25">
      <c r="A150" t="s">
        <v>93</v>
      </c>
      <c r="B150" s="24">
        <v>2</v>
      </c>
      <c r="C150" s="3">
        <v>45569</v>
      </c>
      <c r="E150" t="s">
        <v>517</v>
      </c>
      <c r="F150" s="24">
        <v>1.25</v>
      </c>
      <c r="G150" s="8">
        <v>45669</v>
      </c>
    </row>
    <row r="151" spans="1:9" x14ac:dyDescent="0.25">
      <c r="A151" t="s">
        <v>36</v>
      </c>
      <c r="B151" s="24">
        <v>1</v>
      </c>
      <c r="C151" s="8">
        <v>45573</v>
      </c>
      <c r="E151" t="s">
        <v>518</v>
      </c>
      <c r="F151" s="24">
        <v>2</v>
      </c>
      <c r="G151" s="8">
        <v>45671</v>
      </c>
    </row>
    <row r="152" spans="1:9" x14ac:dyDescent="0.25">
      <c r="A152" t="s">
        <v>36</v>
      </c>
      <c r="B152" s="24">
        <v>1</v>
      </c>
      <c r="C152" s="8">
        <v>45575</v>
      </c>
      <c r="E152" t="s">
        <v>517</v>
      </c>
      <c r="F152" s="24">
        <v>2.5</v>
      </c>
      <c r="G152" s="8">
        <v>45676</v>
      </c>
    </row>
    <row r="153" spans="1:9" x14ac:dyDescent="0.25">
      <c r="A153" t="s">
        <v>36</v>
      </c>
      <c r="B153" s="24">
        <v>1.5</v>
      </c>
      <c r="C153" s="8">
        <v>45577</v>
      </c>
      <c r="E153" t="s">
        <v>519</v>
      </c>
      <c r="F153" s="24">
        <v>1</v>
      </c>
      <c r="G153" s="8">
        <v>45678</v>
      </c>
    </row>
    <row r="154" spans="1:9" x14ac:dyDescent="0.25">
      <c r="A154" t="s">
        <v>36</v>
      </c>
      <c r="B154" s="24">
        <v>1</v>
      </c>
      <c r="C154" s="8">
        <v>45578</v>
      </c>
      <c r="E154" t="s">
        <v>521</v>
      </c>
      <c r="F154" s="24">
        <v>10</v>
      </c>
      <c r="G154" s="8">
        <v>45678</v>
      </c>
    </row>
    <row r="155" spans="1:9" x14ac:dyDescent="0.25">
      <c r="A155" t="s">
        <v>36</v>
      </c>
      <c r="B155" s="24">
        <v>1.5</v>
      </c>
      <c r="C155" s="8">
        <v>45584</v>
      </c>
      <c r="E155" t="s">
        <v>520</v>
      </c>
      <c r="F155" s="24">
        <v>8</v>
      </c>
      <c r="G155" s="8">
        <v>45679</v>
      </c>
    </row>
    <row r="156" spans="1:9" x14ac:dyDescent="0.25">
      <c r="A156" t="s">
        <v>36</v>
      </c>
      <c r="B156" s="24">
        <v>4.5</v>
      </c>
      <c r="C156" s="8">
        <v>45585</v>
      </c>
      <c r="E156" t="s">
        <v>523</v>
      </c>
      <c r="F156" s="24">
        <v>0.75</v>
      </c>
      <c r="G156" s="8">
        <v>45685</v>
      </c>
    </row>
    <row r="157" spans="1:9" x14ac:dyDescent="0.25">
      <c r="A157" t="s">
        <v>36</v>
      </c>
      <c r="B157" s="24">
        <v>1</v>
      </c>
      <c r="C157" s="8">
        <v>45586</v>
      </c>
      <c r="E157" t="s">
        <v>524</v>
      </c>
      <c r="F157" s="24">
        <v>1.5</v>
      </c>
      <c r="G157" s="8">
        <v>45688</v>
      </c>
      <c r="I157" s="10"/>
    </row>
    <row r="158" spans="1:9" x14ac:dyDescent="0.25">
      <c r="A158" t="s">
        <v>36</v>
      </c>
      <c r="B158" s="24">
        <v>1.5</v>
      </c>
      <c r="C158" s="8">
        <v>45590</v>
      </c>
      <c r="E158" t="s">
        <v>525</v>
      </c>
      <c r="F158" s="24">
        <v>3</v>
      </c>
      <c r="G158" s="8">
        <v>45689</v>
      </c>
    </row>
    <row r="159" spans="1:9" x14ac:dyDescent="0.25">
      <c r="A159" t="s">
        <v>36</v>
      </c>
      <c r="B159" s="24">
        <v>2.25</v>
      </c>
      <c r="C159" s="8">
        <v>45666</v>
      </c>
      <c r="E159" t="s">
        <v>12</v>
      </c>
      <c r="F159" s="24">
        <v>2.25</v>
      </c>
      <c r="G159" s="8">
        <v>45692</v>
      </c>
    </row>
    <row r="160" spans="1:9" x14ac:dyDescent="0.25">
      <c r="A160" t="s">
        <v>36</v>
      </c>
      <c r="B160" s="24">
        <v>2</v>
      </c>
      <c r="C160" s="8">
        <v>45667</v>
      </c>
      <c r="E160" t="s">
        <v>526</v>
      </c>
      <c r="F160" s="24">
        <v>1.5</v>
      </c>
      <c r="G160" s="8">
        <v>45694</v>
      </c>
    </row>
    <row r="161" spans="1:7" x14ac:dyDescent="0.25">
      <c r="A161" t="s">
        <v>36</v>
      </c>
      <c r="B161" s="24">
        <v>2.5</v>
      </c>
      <c r="C161" s="8">
        <v>45668</v>
      </c>
      <c r="E161" t="s">
        <v>12</v>
      </c>
      <c r="F161" s="24">
        <v>1</v>
      </c>
      <c r="G161" s="8">
        <v>45696</v>
      </c>
    </row>
    <row r="162" spans="1:7" x14ac:dyDescent="0.25">
      <c r="A162" t="s">
        <v>36</v>
      </c>
      <c r="B162" s="24">
        <v>0.3</v>
      </c>
      <c r="C162" s="8">
        <v>45669</v>
      </c>
      <c r="E162" t="s">
        <v>12</v>
      </c>
      <c r="F162" s="24">
        <v>3</v>
      </c>
      <c r="G162" s="8">
        <v>45698</v>
      </c>
    </row>
    <row r="163" spans="1:7" x14ac:dyDescent="0.25">
      <c r="A163" t="s">
        <v>18</v>
      </c>
      <c r="B163" s="24">
        <v>1.5</v>
      </c>
      <c r="C163" s="8">
        <v>45670</v>
      </c>
      <c r="E163" t="s">
        <v>527</v>
      </c>
      <c r="F163" s="24">
        <v>2</v>
      </c>
      <c r="G163" s="8">
        <v>45700</v>
      </c>
    </row>
    <row r="164" spans="1:7" x14ac:dyDescent="0.25">
      <c r="A164" t="s">
        <v>522</v>
      </c>
      <c r="B164" s="24">
        <v>1.5</v>
      </c>
      <c r="C164" s="8">
        <v>45681</v>
      </c>
      <c r="E164" t="s">
        <v>528</v>
      </c>
      <c r="F164" s="24">
        <v>4</v>
      </c>
      <c r="G164" s="8">
        <v>45701</v>
      </c>
    </row>
    <row r="165" spans="1:7" x14ac:dyDescent="0.25">
      <c r="A165" t="s">
        <v>522</v>
      </c>
      <c r="B165" s="24">
        <v>2.5</v>
      </c>
      <c r="C165" s="8">
        <v>45682</v>
      </c>
      <c r="E165" t="s">
        <v>528</v>
      </c>
      <c r="F165" s="24">
        <v>2</v>
      </c>
      <c r="G165" s="8">
        <v>45702</v>
      </c>
    </row>
    <row r="166" spans="1:7" x14ac:dyDescent="0.25">
      <c r="A166" t="s">
        <v>522</v>
      </c>
      <c r="B166" s="24">
        <v>0.75</v>
      </c>
      <c r="C166" s="8">
        <v>45683</v>
      </c>
      <c r="E166" t="s">
        <v>528</v>
      </c>
      <c r="F166" s="24">
        <v>6</v>
      </c>
      <c r="G166" s="8">
        <v>45703</v>
      </c>
    </row>
    <row r="167" spans="1:7" x14ac:dyDescent="0.25">
      <c r="A167" t="s">
        <v>18</v>
      </c>
      <c r="B167" s="24">
        <v>2.25</v>
      </c>
      <c r="C167" s="8">
        <v>45693</v>
      </c>
      <c r="E167" t="s">
        <v>528</v>
      </c>
      <c r="F167" s="24">
        <v>1.5</v>
      </c>
      <c r="G167" s="8">
        <v>45704</v>
      </c>
    </row>
    <row r="168" spans="1:7" x14ac:dyDescent="0.25">
      <c r="A168" t="s">
        <v>529</v>
      </c>
      <c r="B168" s="24">
        <v>0.75</v>
      </c>
      <c r="C168" s="8">
        <v>45707</v>
      </c>
      <c r="E168" t="s">
        <v>528</v>
      </c>
      <c r="F168" s="24">
        <v>3.5</v>
      </c>
      <c r="G168" s="8">
        <v>45705</v>
      </c>
    </row>
    <row r="169" spans="1:7" x14ac:dyDescent="0.25">
      <c r="A169" t="s">
        <v>529</v>
      </c>
      <c r="B169" s="24">
        <v>3</v>
      </c>
      <c r="C169" s="8">
        <v>45708</v>
      </c>
      <c r="E169" t="s">
        <v>528</v>
      </c>
      <c r="F169" s="24">
        <v>1.5</v>
      </c>
      <c r="G169" s="8">
        <v>45706</v>
      </c>
    </row>
    <row r="170" spans="1:7" x14ac:dyDescent="0.25">
      <c r="A170" t="s">
        <v>529</v>
      </c>
      <c r="B170" s="24">
        <v>4</v>
      </c>
      <c r="C170" s="8">
        <v>45709</v>
      </c>
      <c r="E170" t="s">
        <v>70</v>
      </c>
      <c r="F170" s="24">
        <v>3</v>
      </c>
      <c r="G170" s="8">
        <v>45735</v>
      </c>
    </row>
    <row r="171" spans="1:7" x14ac:dyDescent="0.25">
      <c r="A171" t="s">
        <v>529</v>
      </c>
      <c r="B171" s="24">
        <v>2</v>
      </c>
      <c r="C171" s="8">
        <v>45710</v>
      </c>
      <c r="E171" t="s">
        <v>70</v>
      </c>
      <c r="F171" s="24">
        <v>2.5</v>
      </c>
      <c r="G171" s="8">
        <v>45737</v>
      </c>
    </row>
    <row r="172" spans="1:7" x14ac:dyDescent="0.25">
      <c r="A172" t="s">
        <v>529</v>
      </c>
      <c r="B172" s="24">
        <v>3</v>
      </c>
      <c r="C172" s="8">
        <v>45711</v>
      </c>
      <c r="E172" t="s">
        <v>70</v>
      </c>
      <c r="F172" s="24">
        <v>5</v>
      </c>
      <c r="G172" s="8">
        <v>45738</v>
      </c>
    </row>
    <row r="173" spans="1:7" x14ac:dyDescent="0.25">
      <c r="A173" t="s">
        <v>529</v>
      </c>
      <c r="B173" s="24">
        <v>3</v>
      </c>
      <c r="C173" s="8">
        <v>45712</v>
      </c>
      <c r="E173" t="s">
        <v>70</v>
      </c>
      <c r="F173" s="10">
        <v>2</v>
      </c>
      <c r="G173" s="8">
        <v>45741</v>
      </c>
    </row>
    <row r="174" spans="1:7" x14ac:dyDescent="0.25">
      <c r="A174" t="s">
        <v>529</v>
      </c>
      <c r="B174" s="24">
        <v>2</v>
      </c>
      <c r="C174" s="8">
        <v>45718</v>
      </c>
      <c r="E174" t="s">
        <v>75</v>
      </c>
      <c r="F174" s="10">
        <v>1</v>
      </c>
      <c r="G174" s="8">
        <v>45742</v>
      </c>
    </row>
    <row r="175" spans="1:7" x14ac:dyDescent="0.25">
      <c r="A175" t="s">
        <v>529</v>
      </c>
      <c r="B175" s="24">
        <v>5</v>
      </c>
      <c r="C175" s="8">
        <v>45719</v>
      </c>
      <c r="E175" t="s">
        <v>75</v>
      </c>
      <c r="F175" s="24">
        <v>1</v>
      </c>
      <c r="G175" s="8">
        <v>45743</v>
      </c>
    </row>
    <row r="176" spans="1:7" x14ac:dyDescent="0.25">
      <c r="A176" t="s">
        <v>529</v>
      </c>
      <c r="B176" s="24">
        <v>3</v>
      </c>
      <c r="C176" s="8">
        <v>45722</v>
      </c>
      <c r="E176" t="s">
        <v>531</v>
      </c>
      <c r="F176" s="24">
        <v>1</v>
      </c>
      <c r="G176" s="8">
        <v>45747</v>
      </c>
    </row>
    <row r="177" spans="1:7" x14ac:dyDescent="0.25">
      <c r="A177" t="s">
        <v>530</v>
      </c>
      <c r="B177" s="24">
        <v>2</v>
      </c>
      <c r="C177" s="8">
        <v>45746</v>
      </c>
      <c r="E177" t="s">
        <v>12</v>
      </c>
      <c r="F177" s="24">
        <v>1.5</v>
      </c>
      <c r="G177" s="8">
        <v>45748</v>
      </c>
    </row>
    <row r="178" spans="1:7" x14ac:dyDescent="0.25">
      <c r="A178" t="s">
        <v>529</v>
      </c>
      <c r="B178" s="24">
        <v>1</v>
      </c>
      <c r="C178" s="8">
        <v>45757</v>
      </c>
      <c r="E178" t="s">
        <v>532</v>
      </c>
      <c r="F178" s="24">
        <v>2</v>
      </c>
      <c r="G178" s="8">
        <v>45750</v>
      </c>
    </row>
    <row r="179" spans="1:7" x14ac:dyDescent="0.25">
      <c r="E179" t="s">
        <v>533</v>
      </c>
      <c r="F179" s="24">
        <v>1</v>
      </c>
      <c r="G179" s="8">
        <v>45751</v>
      </c>
    </row>
    <row r="180" spans="1:7" x14ac:dyDescent="0.25">
      <c r="E180" t="s">
        <v>534</v>
      </c>
      <c r="F180" s="24">
        <v>2.5</v>
      </c>
      <c r="G180" s="8">
        <v>45753</v>
      </c>
    </row>
    <row r="181" spans="1:7" x14ac:dyDescent="0.25">
      <c r="E181" t="s">
        <v>535</v>
      </c>
      <c r="F181" s="24">
        <v>1</v>
      </c>
      <c r="G181" s="8">
        <v>45758</v>
      </c>
    </row>
    <row r="182" spans="1:7" x14ac:dyDescent="0.25">
      <c r="E182" t="s">
        <v>535</v>
      </c>
      <c r="F182" s="24">
        <v>0.5</v>
      </c>
      <c r="G182" s="8">
        <v>45765</v>
      </c>
    </row>
    <row r="183" spans="1:7" x14ac:dyDescent="0.25">
      <c r="F183" s="24"/>
      <c r="G183" s="8"/>
    </row>
    <row r="185" spans="1:7" x14ac:dyDescent="0.25">
      <c r="A185" s="18" t="s">
        <v>94</v>
      </c>
      <c r="B185" s="19">
        <f>SUM(B4:B184)</f>
        <v>252.75</v>
      </c>
      <c r="C185" s="18"/>
      <c r="D185" s="18"/>
      <c r="E185" s="18" t="s">
        <v>94</v>
      </c>
      <c r="F185" s="19">
        <f>SUM(F4:F184)</f>
        <v>378.45</v>
      </c>
    </row>
    <row r="186" spans="1:7" x14ac:dyDescent="0.25">
      <c r="A186" s="18"/>
      <c r="B186" s="19"/>
      <c r="C186" s="18"/>
      <c r="D186" s="18"/>
      <c r="E186" s="18"/>
      <c r="F186" s="18"/>
    </row>
    <row r="187" spans="1:7" x14ac:dyDescent="0.25">
      <c r="A187" t="s">
        <v>95</v>
      </c>
      <c r="B187" s="10">
        <f>B185+F185</f>
        <v>631.20000000000005</v>
      </c>
      <c r="E187" t="s">
        <v>96</v>
      </c>
      <c r="F187" s="10">
        <f>SUM(F4:F102, B4:B53)</f>
        <v>292.64999999999998</v>
      </c>
    </row>
    <row r="188" spans="1:7" x14ac:dyDescent="0.25">
      <c r="A188" t="s">
        <v>97</v>
      </c>
      <c r="B188" s="10">
        <f>(F189-C4)</f>
        <v>796</v>
      </c>
      <c r="E188" t="s">
        <v>98</v>
      </c>
      <c r="F188" s="10">
        <f>B187-F187</f>
        <v>338.55000000000007</v>
      </c>
    </row>
    <row r="189" spans="1:7" x14ac:dyDescent="0.25">
      <c r="A189" t="s">
        <v>99</v>
      </c>
      <c r="B189" s="26">
        <f>(B187)/(B188)</f>
        <v>0.7929648241206031</v>
      </c>
      <c r="E189" t="s">
        <v>100</v>
      </c>
      <c r="F189" s="8">
        <v>45805</v>
      </c>
    </row>
    <row r="190" spans="1:7" x14ac:dyDescent="0.25">
      <c r="A190" t="s">
        <v>101</v>
      </c>
      <c r="B190" s="26">
        <f>AVERAGEA(B4:B184,F4:F184)</f>
        <v>2.0831683168316832</v>
      </c>
    </row>
  </sheetData>
  <autoFilter ref="A1:G103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3">
    <mergeCell ref="A1:G1"/>
    <mergeCell ref="A2:C2"/>
    <mergeCell ref="E2:G2"/>
  </mergeCells>
  <pageMargins left="0.7" right="0.7" top="0.75" bottom="0.75" header="0.3" footer="0.3"/>
  <pageSetup paperSize="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BCA2-0EAB-4F94-AEA3-32EA4547F737}">
  <dimension ref="A1:P60"/>
  <sheetViews>
    <sheetView workbookViewId="0">
      <selection activeCell="D23" sqref="D23"/>
    </sheetView>
  </sheetViews>
  <sheetFormatPr defaultRowHeight="15" x14ac:dyDescent="0.25"/>
  <cols>
    <col min="1" max="1" width="5" bestFit="1" customWidth="1"/>
    <col min="2" max="2" width="23.7109375" bestFit="1" customWidth="1"/>
    <col min="3" max="3" width="39.5703125" customWidth="1"/>
    <col min="4" max="4" width="32.5703125" customWidth="1"/>
    <col min="5" max="5" width="6.5703125" bestFit="1" customWidth="1"/>
    <col min="6" max="6" width="7.42578125" hidden="1" customWidth="1"/>
    <col min="7" max="7" width="4" hidden="1" customWidth="1"/>
    <col min="8" max="8" width="4.42578125" hidden="1" customWidth="1"/>
    <col min="9" max="9" width="5.7109375" hidden="1" customWidth="1"/>
    <col min="11" max="11" width="9.140625" customWidth="1"/>
    <col min="12" max="12" width="14.42578125" hidden="1" customWidth="1"/>
    <col min="13" max="14" width="11.7109375" hidden="1" customWidth="1"/>
    <col min="15" max="15" width="11.42578125" hidden="1" customWidth="1"/>
    <col min="16" max="16" width="15.7109375" hidden="1" customWidth="1"/>
  </cols>
  <sheetData>
    <row r="1" spans="1:16" x14ac:dyDescent="0.25">
      <c r="A1" t="s">
        <v>102</v>
      </c>
      <c r="B1" t="s">
        <v>103</v>
      </c>
      <c r="C1" s="29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 spans="1:16" x14ac:dyDescent="0.25">
      <c r="A2">
        <v>1</v>
      </c>
      <c r="B2" t="s">
        <v>118</v>
      </c>
      <c r="C2" s="29" t="s">
        <v>119</v>
      </c>
      <c r="D2" t="s">
        <v>120</v>
      </c>
      <c r="E2">
        <v>1</v>
      </c>
      <c r="J2" s="28"/>
      <c r="K2">
        <v>2</v>
      </c>
      <c r="L2" t="s">
        <v>121</v>
      </c>
    </row>
    <row r="3" spans="1:16" x14ac:dyDescent="0.25">
      <c r="A3">
        <v>2</v>
      </c>
      <c r="B3" t="s">
        <v>122</v>
      </c>
      <c r="C3" s="29" t="s">
        <v>123</v>
      </c>
      <c r="D3" t="s">
        <v>124</v>
      </c>
      <c r="E3">
        <v>1</v>
      </c>
      <c r="F3" t="s">
        <v>125</v>
      </c>
      <c r="G3" t="s">
        <v>126</v>
      </c>
      <c r="H3" t="s">
        <v>127</v>
      </c>
      <c r="I3" t="s">
        <v>128</v>
      </c>
      <c r="J3" s="28">
        <f>0.017*E3</f>
        <v>1.7000000000000001E-2</v>
      </c>
      <c r="K3">
        <v>2</v>
      </c>
      <c r="L3" t="s">
        <v>127</v>
      </c>
      <c r="M3" t="s">
        <v>129</v>
      </c>
    </row>
    <row r="4" spans="1:16" x14ac:dyDescent="0.25">
      <c r="A4">
        <v>3</v>
      </c>
      <c r="B4" t="s">
        <v>130</v>
      </c>
      <c r="C4" s="29" t="s">
        <v>131</v>
      </c>
      <c r="D4" t="s">
        <v>124</v>
      </c>
      <c r="E4">
        <v>12</v>
      </c>
      <c r="F4" t="s">
        <v>132</v>
      </c>
      <c r="G4" t="s">
        <v>126</v>
      </c>
      <c r="H4" t="s">
        <v>127</v>
      </c>
      <c r="I4" t="s">
        <v>133</v>
      </c>
      <c r="J4" s="28">
        <f>0.017*E4</f>
        <v>0.20400000000000001</v>
      </c>
      <c r="K4">
        <v>2</v>
      </c>
      <c r="L4" t="s">
        <v>127</v>
      </c>
      <c r="M4" t="s">
        <v>129</v>
      </c>
    </row>
    <row r="5" spans="1:16" x14ac:dyDescent="0.25">
      <c r="A5">
        <v>4</v>
      </c>
      <c r="B5" t="s">
        <v>134</v>
      </c>
      <c r="C5" s="29" t="s">
        <v>135</v>
      </c>
      <c r="D5" t="s">
        <v>124</v>
      </c>
      <c r="E5">
        <v>1</v>
      </c>
      <c r="F5" t="s">
        <v>136</v>
      </c>
      <c r="G5" t="s">
        <v>126</v>
      </c>
      <c r="H5" t="s">
        <v>127</v>
      </c>
      <c r="I5" t="s">
        <v>137</v>
      </c>
      <c r="J5" s="28">
        <f t="shared" ref="J5:J19" si="0">0.017*E5</f>
        <v>1.7000000000000001E-2</v>
      </c>
      <c r="K5">
        <v>2</v>
      </c>
      <c r="L5" t="s">
        <v>127</v>
      </c>
      <c r="M5" t="s">
        <v>129</v>
      </c>
    </row>
    <row r="6" spans="1:16" x14ac:dyDescent="0.25">
      <c r="A6">
        <v>5</v>
      </c>
      <c r="B6" t="s">
        <v>138</v>
      </c>
      <c r="C6" s="29" t="s">
        <v>139</v>
      </c>
      <c r="D6" t="s">
        <v>124</v>
      </c>
      <c r="E6">
        <v>6</v>
      </c>
      <c r="F6" t="s">
        <v>140</v>
      </c>
      <c r="G6" t="s">
        <v>141</v>
      </c>
      <c r="H6" t="s">
        <v>127</v>
      </c>
      <c r="I6" t="s">
        <v>142</v>
      </c>
      <c r="J6" s="28">
        <f t="shared" si="0"/>
        <v>0.10200000000000001</v>
      </c>
      <c r="K6">
        <v>2</v>
      </c>
      <c r="L6" t="s">
        <v>127</v>
      </c>
      <c r="M6" t="s">
        <v>129</v>
      </c>
    </row>
    <row r="7" spans="1:16" x14ac:dyDescent="0.25">
      <c r="A7">
        <v>6</v>
      </c>
      <c r="B7" t="s">
        <v>130</v>
      </c>
      <c r="C7" s="29" t="s">
        <v>143</v>
      </c>
      <c r="D7" t="s">
        <v>144</v>
      </c>
      <c r="E7">
        <v>1</v>
      </c>
      <c r="F7" t="s">
        <v>145</v>
      </c>
      <c r="G7" t="s">
        <v>146</v>
      </c>
      <c r="H7" t="s">
        <v>127</v>
      </c>
      <c r="I7" t="s">
        <v>147</v>
      </c>
      <c r="J7" s="28">
        <f t="shared" si="0"/>
        <v>1.7000000000000001E-2</v>
      </c>
      <c r="K7">
        <v>2</v>
      </c>
      <c r="L7" t="s">
        <v>148</v>
      </c>
      <c r="M7" t="s">
        <v>129</v>
      </c>
    </row>
    <row r="8" spans="1:16" x14ac:dyDescent="0.25">
      <c r="A8">
        <v>7</v>
      </c>
      <c r="B8" t="s">
        <v>149</v>
      </c>
      <c r="C8" s="29" t="s">
        <v>150</v>
      </c>
      <c r="D8" t="s">
        <v>124</v>
      </c>
      <c r="E8">
        <v>1</v>
      </c>
      <c r="F8" t="s">
        <v>151</v>
      </c>
      <c r="G8" t="s">
        <v>152</v>
      </c>
      <c r="H8" t="s">
        <v>127</v>
      </c>
      <c r="I8" t="s">
        <v>153</v>
      </c>
      <c r="J8" s="28">
        <f t="shared" si="0"/>
        <v>1.7000000000000001E-2</v>
      </c>
      <c r="K8">
        <v>2</v>
      </c>
      <c r="M8" t="s">
        <v>129</v>
      </c>
    </row>
    <row r="9" spans="1:16" x14ac:dyDescent="0.25">
      <c r="A9">
        <v>8</v>
      </c>
      <c r="B9" t="s">
        <v>154</v>
      </c>
      <c r="C9" s="29" t="s">
        <v>155</v>
      </c>
      <c r="D9" t="s">
        <v>124</v>
      </c>
      <c r="E9">
        <v>1</v>
      </c>
      <c r="F9" t="s">
        <v>156</v>
      </c>
      <c r="G9" t="s">
        <v>157</v>
      </c>
      <c r="H9" t="s">
        <v>127</v>
      </c>
      <c r="I9" t="s">
        <v>158</v>
      </c>
      <c r="J9" s="28">
        <f t="shared" si="0"/>
        <v>1.7000000000000001E-2</v>
      </c>
      <c r="K9">
        <v>2</v>
      </c>
      <c r="L9" t="s">
        <v>148</v>
      </c>
    </row>
    <row r="10" spans="1:16" x14ac:dyDescent="0.25">
      <c r="A10">
        <v>9</v>
      </c>
      <c r="B10" t="s">
        <v>159</v>
      </c>
      <c r="C10" s="29" t="s">
        <v>160</v>
      </c>
      <c r="D10" t="s">
        <v>124</v>
      </c>
      <c r="E10">
        <v>2</v>
      </c>
      <c r="F10" t="s">
        <v>161</v>
      </c>
      <c r="G10" t="s">
        <v>162</v>
      </c>
      <c r="H10" t="s">
        <v>127</v>
      </c>
      <c r="I10" t="s">
        <v>163</v>
      </c>
      <c r="J10" s="28">
        <f t="shared" si="0"/>
        <v>3.4000000000000002E-2</v>
      </c>
      <c r="K10">
        <v>2</v>
      </c>
      <c r="L10" t="s">
        <v>127</v>
      </c>
      <c r="M10" t="s">
        <v>129</v>
      </c>
    </row>
    <row r="11" spans="1:16" x14ac:dyDescent="0.25">
      <c r="A11">
        <v>10</v>
      </c>
      <c r="B11" t="s">
        <v>164</v>
      </c>
      <c r="C11" s="29" t="s">
        <v>165</v>
      </c>
      <c r="D11" t="s">
        <v>166</v>
      </c>
      <c r="E11">
        <v>1</v>
      </c>
      <c r="F11" t="s">
        <v>164</v>
      </c>
      <c r="G11" t="s">
        <v>167</v>
      </c>
      <c r="H11" t="s">
        <v>127</v>
      </c>
      <c r="I11" t="s">
        <v>168</v>
      </c>
      <c r="J11" s="28">
        <f t="shared" si="0"/>
        <v>1.7000000000000001E-2</v>
      </c>
      <c r="K11">
        <v>8</v>
      </c>
      <c r="L11" t="s">
        <v>127</v>
      </c>
      <c r="M11" t="s">
        <v>129</v>
      </c>
    </row>
    <row r="12" spans="1:16" x14ac:dyDescent="0.25">
      <c r="A12">
        <v>11</v>
      </c>
      <c r="B12" t="s">
        <v>169</v>
      </c>
      <c r="C12" s="29" t="s">
        <v>170</v>
      </c>
      <c r="D12" t="s">
        <v>171</v>
      </c>
      <c r="E12">
        <v>1</v>
      </c>
      <c r="F12" t="s">
        <v>172</v>
      </c>
      <c r="G12" t="s">
        <v>167</v>
      </c>
      <c r="H12" t="s">
        <v>127</v>
      </c>
      <c r="I12" t="s">
        <v>173</v>
      </c>
      <c r="J12" s="28">
        <f t="shared" si="0"/>
        <v>1.7000000000000001E-2</v>
      </c>
      <c r="K12">
        <v>4</v>
      </c>
      <c r="L12" t="s">
        <v>127</v>
      </c>
      <c r="M12" t="s">
        <v>129</v>
      </c>
    </row>
    <row r="13" spans="1:16" x14ac:dyDescent="0.25">
      <c r="A13">
        <v>12</v>
      </c>
      <c r="B13" t="s">
        <v>174</v>
      </c>
      <c r="C13" s="29" t="s">
        <v>175</v>
      </c>
      <c r="D13" t="s">
        <v>176</v>
      </c>
      <c r="E13">
        <v>1</v>
      </c>
      <c r="F13" t="s">
        <v>177</v>
      </c>
      <c r="G13" t="s">
        <v>167</v>
      </c>
      <c r="H13" t="s">
        <v>127</v>
      </c>
      <c r="I13" t="s">
        <v>178</v>
      </c>
      <c r="J13" s="28">
        <f t="shared" si="0"/>
        <v>1.7000000000000001E-2</v>
      </c>
      <c r="K13">
        <v>5</v>
      </c>
      <c r="L13" t="s">
        <v>127</v>
      </c>
      <c r="M13" t="s">
        <v>129</v>
      </c>
    </row>
    <row r="14" spans="1:16" x14ac:dyDescent="0.25">
      <c r="A14">
        <v>13</v>
      </c>
      <c r="B14" t="s">
        <v>179</v>
      </c>
      <c r="C14" s="29" t="s">
        <v>180</v>
      </c>
      <c r="D14" t="s">
        <v>181</v>
      </c>
      <c r="E14">
        <v>1</v>
      </c>
      <c r="F14" t="s">
        <v>182</v>
      </c>
      <c r="G14" t="s">
        <v>167</v>
      </c>
      <c r="H14" t="s">
        <v>127</v>
      </c>
      <c r="I14" t="s">
        <v>183</v>
      </c>
      <c r="J14" s="28">
        <f t="shared" si="0"/>
        <v>1.7000000000000001E-2</v>
      </c>
      <c r="K14">
        <v>4</v>
      </c>
      <c r="L14" t="s">
        <v>127</v>
      </c>
      <c r="M14" t="s">
        <v>129</v>
      </c>
    </row>
    <row r="15" spans="1:16" x14ac:dyDescent="0.25">
      <c r="A15">
        <v>14</v>
      </c>
      <c r="B15" t="s">
        <v>184</v>
      </c>
      <c r="C15" s="29" t="s">
        <v>185</v>
      </c>
      <c r="D15" t="s">
        <v>186</v>
      </c>
      <c r="E15">
        <v>1</v>
      </c>
      <c r="F15" t="s">
        <v>184</v>
      </c>
      <c r="G15" t="s">
        <v>167</v>
      </c>
      <c r="H15" t="s">
        <v>127</v>
      </c>
      <c r="I15" t="s">
        <v>187</v>
      </c>
      <c r="J15" s="28">
        <f t="shared" si="0"/>
        <v>1.7000000000000001E-2</v>
      </c>
      <c r="K15">
        <v>6</v>
      </c>
      <c r="L15" t="s">
        <v>127</v>
      </c>
      <c r="M15" t="s">
        <v>129</v>
      </c>
    </row>
    <row r="16" spans="1:16" x14ac:dyDescent="0.25">
      <c r="A16">
        <v>15</v>
      </c>
      <c r="B16" t="s">
        <v>188</v>
      </c>
      <c r="C16" s="29" t="s">
        <v>189</v>
      </c>
      <c r="D16" t="s">
        <v>190</v>
      </c>
      <c r="E16">
        <v>1</v>
      </c>
      <c r="F16" t="s">
        <v>191</v>
      </c>
      <c r="G16" t="s">
        <v>167</v>
      </c>
      <c r="H16" t="s">
        <v>127</v>
      </c>
      <c r="I16" t="s">
        <v>192</v>
      </c>
      <c r="J16" s="28">
        <f t="shared" si="0"/>
        <v>1.7000000000000001E-2</v>
      </c>
      <c r="K16">
        <v>5</v>
      </c>
      <c r="L16" t="s">
        <v>127</v>
      </c>
      <c r="M16" t="s">
        <v>129</v>
      </c>
    </row>
    <row r="17" spans="1:15" x14ac:dyDescent="0.25">
      <c r="A17">
        <v>16</v>
      </c>
      <c r="B17" t="s">
        <v>193</v>
      </c>
      <c r="C17" s="29" t="s">
        <v>194</v>
      </c>
      <c r="D17" t="s">
        <v>195</v>
      </c>
      <c r="E17">
        <v>2</v>
      </c>
      <c r="F17" t="s">
        <v>196</v>
      </c>
      <c r="G17" t="s">
        <v>197</v>
      </c>
      <c r="H17" t="s">
        <v>127</v>
      </c>
      <c r="I17" t="s">
        <v>198</v>
      </c>
      <c r="J17" s="28">
        <f t="shared" si="0"/>
        <v>3.4000000000000002E-2</v>
      </c>
      <c r="K17">
        <v>2</v>
      </c>
      <c r="L17" t="s">
        <v>127</v>
      </c>
      <c r="M17" t="s">
        <v>129</v>
      </c>
    </row>
    <row r="18" spans="1:15" x14ac:dyDescent="0.25">
      <c r="A18">
        <v>17</v>
      </c>
      <c r="B18" t="s">
        <v>199</v>
      </c>
      <c r="C18" s="29" t="s">
        <v>200</v>
      </c>
      <c r="D18" t="s">
        <v>201</v>
      </c>
      <c r="E18">
        <v>3</v>
      </c>
      <c r="F18" t="s">
        <v>199</v>
      </c>
      <c r="G18" t="s">
        <v>202</v>
      </c>
      <c r="H18" t="s">
        <v>127</v>
      </c>
      <c r="I18" t="s">
        <v>203</v>
      </c>
      <c r="J18" s="28">
        <f t="shared" si="0"/>
        <v>5.1000000000000004E-2</v>
      </c>
      <c r="K18">
        <v>2</v>
      </c>
      <c r="L18" t="s">
        <v>127</v>
      </c>
      <c r="M18" t="s">
        <v>129</v>
      </c>
    </row>
    <row r="19" spans="1:15" x14ac:dyDescent="0.25">
      <c r="A19">
        <v>18</v>
      </c>
      <c r="B19" t="s">
        <v>204</v>
      </c>
      <c r="C19" s="29" t="s">
        <v>205</v>
      </c>
      <c r="D19" t="s">
        <v>206</v>
      </c>
      <c r="E19">
        <v>1</v>
      </c>
      <c r="F19" t="s">
        <v>207</v>
      </c>
      <c r="G19" t="s">
        <v>208</v>
      </c>
      <c r="H19" t="s">
        <v>127</v>
      </c>
      <c r="I19" t="s">
        <v>209</v>
      </c>
      <c r="J19" s="28">
        <f t="shared" si="0"/>
        <v>1.7000000000000001E-2</v>
      </c>
      <c r="K19">
        <v>2</v>
      </c>
      <c r="M19" t="s">
        <v>129</v>
      </c>
    </row>
    <row r="20" spans="1:15" x14ac:dyDescent="0.25">
      <c r="A20">
        <v>19</v>
      </c>
      <c r="B20" t="s">
        <v>210</v>
      </c>
      <c r="C20" s="29" t="s">
        <v>211</v>
      </c>
      <c r="D20" t="s">
        <v>212</v>
      </c>
      <c r="E20">
        <v>1</v>
      </c>
      <c r="J20" s="28"/>
      <c r="K20">
        <v>2</v>
      </c>
      <c r="L20" t="s">
        <v>213</v>
      </c>
      <c r="N20" t="s">
        <v>214</v>
      </c>
      <c r="O20" t="s">
        <v>215</v>
      </c>
    </row>
    <row r="21" spans="1:15" x14ac:dyDescent="0.25">
      <c r="A21">
        <v>20</v>
      </c>
      <c r="B21" t="s">
        <v>216</v>
      </c>
      <c r="C21" s="29" t="s">
        <v>217</v>
      </c>
      <c r="D21" t="s">
        <v>218</v>
      </c>
      <c r="E21">
        <v>1</v>
      </c>
      <c r="F21" t="s">
        <v>219</v>
      </c>
      <c r="G21" t="s">
        <v>220</v>
      </c>
      <c r="H21" t="s">
        <v>127</v>
      </c>
      <c r="I21" t="s">
        <v>221</v>
      </c>
      <c r="J21" s="28">
        <f>0.483*E21</f>
        <v>0.48299999999999998</v>
      </c>
      <c r="K21">
        <v>2</v>
      </c>
      <c r="L21" t="s">
        <v>127</v>
      </c>
      <c r="M21" t="s">
        <v>129</v>
      </c>
    </row>
    <row r="22" spans="1:15" x14ac:dyDescent="0.25">
      <c r="A22">
        <v>21</v>
      </c>
      <c r="B22" t="s">
        <v>222</v>
      </c>
      <c r="C22" s="29" t="s">
        <v>223</v>
      </c>
      <c r="D22" t="s">
        <v>224</v>
      </c>
      <c r="E22">
        <v>1</v>
      </c>
      <c r="F22" t="s">
        <v>225</v>
      </c>
      <c r="G22" t="s">
        <v>220</v>
      </c>
      <c r="H22" t="s">
        <v>127</v>
      </c>
      <c r="I22" t="s">
        <v>226</v>
      </c>
      <c r="J22" s="28">
        <f>0.55*E22</f>
        <v>0.55000000000000004</v>
      </c>
      <c r="K22">
        <v>2</v>
      </c>
      <c r="L22" t="s">
        <v>127</v>
      </c>
      <c r="M22" t="s">
        <v>129</v>
      </c>
    </row>
    <row r="23" spans="1:15" x14ac:dyDescent="0.25">
      <c r="A23">
        <v>22</v>
      </c>
      <c r="B23" t="s">
        <v>227</v>
      </c>
      <c r="C23" s="29" t="s">
        <v>228</v>
      </c>
      <c r="D23" t="s">
        <v>229</v>
      </c>
      <c r="E23">
        <v>1</v>
      </c>
      <c r="F23" t="s">
        <v>230</v>
      </c>
      <c r="G23" t="s">
        <v>231</v>
      </c>
      <c r="H23" t="s">
        <v>127</v>
      </c>
      <c r="I23" t="s">
        <v>232</v>
      </c>
      <c r="J23" s="28">
        <f t="shared" ref="J23:J39" si="1">0.55*E23</f>
        <v>0.55000000000000004</v>
      </c>
      <c r="K23">
        <v>2</v>
      </c>
      <c r="L23" t="s">
        <v>127</v>
      </c>
      <c r="M23" t="s">
        <v>129</v>
      </c>
    </row>
    <row r="24" spans="1:15" x14ac:dyDescent="0.25">
      <c r="A24">
        <v>23</v>
      </c>
      <c r="B24" t="s">
        <v>233</v>
      </c>
      <c r="C24" s="29" t="s">
        <v>234</v>
      </c>
      <c r="D24" t="s">
        <v>229</v>
      </c>
      <c r="E24">
        <v>1</v>
      </c>
      <c r="F24" t="s">
        <v>230</v>
      </c>
      <c r="G24" t="s">
        <v>231</v>
      </c>
      <c r="H24" t="s">
        <v>127</v>
      </c>
      <c r="I24" t="s">
        <v>232</v>
      </c>
      <c r="J24" s="28">
        <f t="shared" si="1"/>
        <v>0.55000000000000004</v>
      </c>
      <c r="K24">
        <v>2</v>
      </c>
      <c r="L24" t="s">
        <v>127</v>
      </c>
      <c r="M24" t="s">
        <v>129</v>
      </c>
    </row>
    <row r="25" spans="1:15" x14ac:dyDescent="0.25">
      <c r="A25">
        <v>24</v>
      </c>
      <c r="B25" t="s">
        <v>235</v>
      </c>
      <c r="C25" s="29" t="s">
        <v>236</v>
      </c>
      <c r="D25" t="s">
        <v>229</v>
      </c>
      <c r="E25">
        <v>1</v>
      </c>
      <c r="F25" t="s">
        <v>230</v>
      </c>
      <c r="G25" t="s">
        <v>231</v>
      </c>
      <c r="H25" t="s">
        <v>127</v>
      </c>
      <c r="I25" t="s">
        <v>232</v>
      </c>
      <c r="J25" s="28">
        <f t="shared" si="1"/>
        <v>0.55000000000000004</v>
      </c>
      <c r="K25">
        <v>2</v>
      </c>
      <c r="L25" t="s">
        <v>127</v>
      </c>
      <c r="M25" t="s">
        <v>129</v>
      </c>
    </row>
    <row r="26" spans="1:15" x14ac:dyDescent="0.25">
      <c r="A26">
        <v>25</v>
      </c>
      <c r="B26" t="s">
        <v>237</v>
      </c>
      <c r="C26" s="29" t="s">
        <v>238</v>
      </c>
      <c r="D26" t="s">
        <v>229</v>
      </c>
      <c r="E26">
        <v>1</v>
      </c>
      <c r="F26" t="s">
        <v>230</v>
      </c>
      <c r="G26" t="s">
        <v>231</v>
      </c>
      <c r="H26" t="s">
        <v>127</v>
      </c>
      <c r="I26" t="s">
        <v>232</v>
      </c>
      <c r="J26" s="28">
        <f t="shared" si="1"/>
        <v>0.55000000000000004</v>
      </c>
      <c r="K26">
        <v>2</v>
      </c>
      <c r="L26" t="s">
        <v>127</v>
      </c>
      <c r="M26" t="s">
        <v>129</v>
      </c>
    </row>
    <row r="27" spans="1:15" x14ac:dyDescent="0.25">
      <c r="A27">
        <v>26</v>
      </c>
      <c r="B27" t="s">
        <v>239</v>
      </c>
      <c r="C27" s="29" t="s">
        <v>240</v>
      </c>
      <c r="D27" t="s">
        <v>241</v>
      </c>
      <c r="E27">
        <v>1</v>
      </c>
      <c r="F27" t="s">
        <v>242</v>
      </c>
      <c r="G27" t="s">
        <v>243</v>
      </c>
      <c r="H27" t="s">
        <v>127</v>
      </c>
      <c r="I27" t="s">
        <v>244</v>
      </c>
      <c r="J27" s="28">
        <f t="shared" si="1"/>
        <v>0.55000000000000004</v>
      </c>
      <c r="K27">
        <v>2</v>
      </c>
      <c r="L27" t="s">
        <v>127</v>
      </c>
      <c r="M27" t="s">
        <v>129</v>
      </c>
    </row>
    <row r="28" spans="1:15" x14ac:dyDescent="0.25">
      <c r="A28">
        <v>27</v>
      </c>
      <c r="B28" t="s">
        <v>245</v>
      </c>
      <c r="C28" s="29" t="s">
        <v>246</v>
      </c>
      <c r="D28" t="s">
        <v>247</v>
      </c>
      <c r="E28">
        <v>1</v>
      </c>
      <c r="F28" t="s">
        <v>248</v>
      </c>
      <c r="G28" t="s">
        <v>249</v>
      </c>
      <c r="H28" t="s">
        <v>127</v>
      </c>
      <c r="I28" t="s">
        <v>250</v>
      </c>
      <c r="J28" s="28">
        <f t="shared" si="1"/>
        <v>0.55000000000000004</v>
      </c>
      <c r="K28">
        <v>2</v>
      </c>
      <c r="L28" t="s">
        <v>127</v>
      </c>
      <c r="M28" t="s">
        <v>129</v>
      </c>
    </row>
    <row r="29" spans="1:15" x14ac:dyDescent="0.25">
      <c r="A29">
        <v>28</v>
      </c>
      <c r="B29" t="s">
        <v>251</v>
      </c>
      <c r="C29" s="29" t="s">
        <v>252</v>
      </c>
      <c r="D29" t="s">
        <v>247</v>
      </c>
      <c r="E29">
        <v>1</v>
      </c>
      <c r="F29" t="s">
        <v>253</v>
      </c>
      <c r="G29" t="s">
        <v>157</v>
      </c>
      <c r="H29" t="s">
        <v>127</v>
      </c>
      <c r="I29" t="s">
        <v>254</v>
      </c>
      <c r="J29" s="28">
        <f t="shared" si="1"/>
        <v>0.55000000000000004</v>
      </c>
      <c r="K29">
        <v>2</v>
      </c>
      <c r="L29" t="s">
        <v>127</v>
      </c>
      <c r="M29" t="s">
        <v>129</v>
      </c>
    </row>
    <row r="30" spans="1:15" x14ac:dyDescent="0.25">
      <c r="A30">
        <v>29</v>
      </c>
      <c r="B30" t="s">
        <v>255</v>
      </c>
      <c r="C30" s="29" t="s">
        <v>256</v>
      </c>
      <c r="D30" t="s">
        <v>247</v>
      </c>
      <c r="E30">
        <v>2</v>
      </c>
      <c r="F30" t="s">
        <v>257</v>
      </c>
      <c r="G30" t="s">
        <v>258</v>
      </c>
      <c r="H30" t="s">
        <v>127</v>
      </c>
      <c r="I30" t="s">
        <v>259</v>
      </c>
      <c r="J30" s="28">
        <f t="shared" si="1"/>
        <v>1.1000000000000001</v>
      </c>
      <c r="K30">
        <v>2</v>
      </c>
      <c r="L30" t="s">
        <v>127</v>
      </c>
      <c r="M30" t="s">
        <v>129</v>
      </c>
    </row>
    <row r="31" spans="1:15" x14ac:dyDescent="0.25">
      <c r="A31">
        <v>30</v>
      </c>
      <c r="B31" t="s">
        <v>260</v>
      </c>
      <c r="C31" s="29" t="s">
        <v>261</v>
      </c>
      <c r="D31" t="s">
        <v>247</v>
      </c>
      <c r="E31">
        <v>2</v>
      </c>
      <c r="F31" t="s">
        <v>262</v>
      </c>
      <c r="G31" t="s">
        <v>263</v>
      </c>
      <c r="H31" t="s">
        <v>127</v>
      </c>
      <c r="I31" t="s">
        <v>264</v>
      </c>
      <c r="J31" s="28">
        <f t="shared" si="1"/>
        <v>1.1000000000000001</v>
      </c>
      <c r="K31">
        <v>2</v>
      </c>
      <c r="L31" t="s">
        <v>148</v>
      </c>
      <c r="M31" t="s">
        <v>129</v>
      </c>
    </row>
    <row r="32" spans="1:15" x14ac:dyDescent="0.25">
      <c r="A32">
        <v>31</v>
      </c>
      <c r="B32" t="s">
        <v>265</v>
      </c>
      <c r="C32" s="29" t="s">
        <v>266</v>
      </c>
      <c r="D32" t="s">
        <v>247</v>
      </c>
      <c r="E32">
        <v>6</v>
      </c>
      <c r="F32" t="s">
        <v>267</v>
      </c>
      <c r="G32" t="s">
        <v>263</v>
      </c>
      <c r="H32" t="s">
        <v>127</v>
      </c>
      <c r="I32" t="s">
        <v>268</v>
      </c>
      <c r="J32" s="28">
        <f t="shared" si="1"/>
        <v>3.3000000000000003</v>
      </c>
      <c r="K32">
        <v>2</v>
      </c>
      <c r="L32" t="s">
        <v>148</v>
      </c>
      <c r="M32" t="s">
        <v>129</v>
      </c>
    </row>
    <row r="33" spans="1:13" x14ac:dyDescent="0.25">
      <c r="A33">
        <v>32</v>
      </c>
      <c r="B33" t="s">
        <v>269</v>
      </c>
      <c r="C33" s="29" t="s">
        <v>270</v>
      </c>
      <c r="D33" t="s">
        <v>247</v>
      </c>
      <c r="E33">
        <v>1</v>
      </c>
      <c r="F33" t="s">
        <v>271</v>
      </c>
      <c r="G33" t="s">
        <v>249</v>
      </c>
      <c r="H33" t="s">
        <v>127</v>
      </c>
      <c r="I33" t="s">
        <v>272</v>
      </c>
      <c r="J33" s="28">
        <f t="shared" si="1"/>
        <v>0.55000000000000004</v>
      </c>
      <c r="K33">
        <v>2</v>
      </c>
      <c r="L33" t="s">
        <v>127</v>
      </c>
      <c r="M33" t="s">
        <v>129</v>
      </c>
    </row>
    <row r="34" spans="1:13" x14ac:dyDescent="0.25">
      <c r="A34">
        <v>33</v>
      </c>
      <c r="B34" t="s">
        <v>273</v>
      </c>
      <c r="C34" s="29" t="s">
        <v>274</v>
      </c>
      <c r="D34" t="s">
        <v>247</v>
      </c>
      <c r="E34">
        <v>1</v>
      </c>
      <c r="F34" t="s">
        <v>275</v>
      </c>
      <c r="G34" t="s">
        <v>276</v>
      </c>
      <c r="H34" t="s">
        <v>127</v>
      </c>
      <c r="I34" t="s">
        <v>277</v>
      </c>
      <c r="J34" s="28">
        <f t="shared" si="1"/>
        <v>0.55000000000000004</v>
      </c>
      <c r="K34">
        <v>2</v>
      </c>
      <c r="L34" t="s">
        <v>127</v>
      </c>
      <c r="M34" t="s">
        <v>129</v>
      </c>
    </row>
    <row r="35" spans="1:13" x14ac:dyDescent="0.25">
      <c r="A35">
        <v>34</v>
      </c>
      <c r="B35" t="s">
        <v>278</v>
      </c>
      <c r="C35" s="29" t="s">
        <v>279</v>
      </c>
      <c r="D35" t="s">
        <v>247</v>
      </c>
      <c r="E35">
        <v>1</v>
      </c>
      <c r="F35" t="s">
        <v>280</v>
      </c>
      <c r="G35" t="s">
        <v>281</v>
      </c>
      <c r="H35" t="s">
        <v>127</v>
      </c>
      <c r="I35" t="s">
        <v>282</v>
      </c>
      <c r="J35" s="28">
        <f t="shared" si="1"/>
        <v>0.55000000000000004</v>
      </c>
      <c r="K35">
        <v>2</v>
      </c>
      <c r="L35" t="s">
        <v>127</v>
      </c>
      <c r="M35" t="s">
        <v>129</v>
      </c>
    </row>
    <row r="36" spans="1:13" x14ac:dyDescent="0.25">
      <c r="A36">
        <v>35</v>
      </c>
      <c r="B36" t="s">
        <v>283</v>
      </c>
      <c r="C36" s="29" t="s">
        <v>284</v>
      </c>
      <c r="D36" t="s">
        <v>247</v>
      </c>
      <c r="E36">
        <v>1</v>
      </c>
      <c r="F36" t="s">
        <v>285</v>
      </c>
      <c r="G36" t="s">
        <v>286</v>
      </c>
      <c r="H36" t="s">
        <v>127</v>
      </c>
      <c r="I36" t="s">
        <v>287</v>
      </c>
      <c r="J36" s="28">
        <f t="shared" si="1"/>
        <v>0.55000000000000004</v>
      </c>
      <c r="K36">
        <v>2</v>
      </c>
      <c r="M36" t="s">
        <v>129</v>
      </c>
    </row>
    <row r="37" spans="1:13" x14ac:dyDescent="0.25">
      <c r="A37">
        <v>36</v>
      </c>
      <c r="B37" t="s">
        <v>288</v>
      </c>
      <c r="C37" s="29" t="s">
        <v>289</v>
      </c>
      <c r="D37" t="s">
        <v>241</v>
      </c>
      <c r="E37">
        <v>3</v>
      </c>
      <c r="F37" t="s">
        <v>290</v>
      </c>
      <c r="G37" t="s">
        <v>291</v>
      </c>
      <c r="H37" t="s">
        <v>127</v>
      </c>
      <c r="I37" t="s">
        <v>292</v>
      </c>
      <c r="J37" s="28">
        <f>0.55*E37</f>
        <v>1.6500000000000001</v>
      </c>
      <c r="K37">
        <v>2</v>
      </c>
      <c r="L37" t="s">
        <v>148</v>
      </c>
      <c r="M37" t="s">
        <v>129</v>
      </c>
    </row>
    <row r="38" spans="1:13" x14ac:dyDescent="0.25">
      <c r="A38">
        <v>37</v>
      </c>
      <c r="B38" t="s">
        <v>293</v>
      </c>
      <c r="C38" s="29" t="s">
        <v>294</v>
      </c>
      <c r="D38" t="s">
        <v>247</v>
      </c>
      <c r="E38">
        <v>2</v>
      </c>
      <c r="F38" t="s">
        <v>295</v>
      </c>
      <c r="G38" t="s">
        <v>249</v>
      </c>
      <c r="H38" t="s">
        <v>127</v>
      </c>
      <c r="I38" t="s">
        <v>296</v>
      </c>
      <c r="J38" s="28">
        <f t="shared" si="1"/>
        <v>1.1000000000000001</v>
      </c>
      <c r="K38">
        <v>2</v>
      </c>
      <c r="L38" t="s">
        <v>127</v>
      </c>
      <c r="M38" t="s">
        <v>129</v>
      </c>
    </row>
    <row r="39" spans="1:13" x14ac:dyDescent="0.25">
      <c r="A39">
        <v>38</v>
      </c>
      <c r="B39" t="s">
        <v>297</v>
      </c>
      <c r="C39" s="29" t="s">
        <v>298</v>
      </c>
      <c r="D39" t="s">
        <v>247</v>
      </c>
      <c r="E39">
        <v>1</v>
      </c>
      <c r="F39" t="s">
        <v>299</v>
      </c>
      <c r="G39" t="s">
        <v>157</v>
      </c>
      <c r="H39" t="s">
        <v>127</v>
      </c>
      <c r="I39" t="s">
        <v>300</v>
      </c>
      <c r="J39" s="28">
        <f t="shared" si="1"/>
        <v>0.55000000000000004</v>
      </c>
      <c r="K39">
        <v>2</v>
      </c>
      <c r="L39" t="s">
        <v>127</v>
      </c>
      <c r="M39" t="s">
        <v>129</v>
      </c>
    </row>
    <row r="40" spans="1:13" x14ac:dyDescent="0.25">
      <c r="A40">
        <v>39</v>
      </c>
      <c r="B40" t="s">
        <v>301</v>
      </c>
      <c r="C40" s="29" t="s">
        <v>302</v>
      </c>
      <c r="D40" t="s">
        <v>247</v>
      </c>
      <c r="E40">
        <v>1</v>
      </c>
      <c r="F40" t="s">
        <v>303</v>
      </c>
      <c r="G40" t="s">
        <v>249</v>
      </c>
      <c r="H40" t="s">
        <v>127</v>
      </c>
      <c r="I40" t="s">
        <v>304</v>
      </c>
      <c r="J40" s="28"/>
      <c r="K40">
        <v>2</v>
      </c>
      <c r="L40" t="s">
        <v>127</v>
      </c>
      <c r="M40" t="s">
        <v>129</v>
      </c>
    </row>
    <row r="41" spans="1:13" x14ac:dyDescent="0.25">
      <c r="A41">
        <v>40</v>
      </c>
      <c r="B41" t="s">
        <v>305</v>
      </c>
      <c r="C41" s="29" t="s">
        <v>306</v>
      </c>
      <c r="D41" t="s">
        <v>247</v>
      </c>
      <c r="E41">
        <v>2</v>
      </c>
      <c r="F41" t="s">
        <v>307</v>
      </c>
      <c r="G41" t="s">
        <v>276</v>
      </c>
      <c r="H41" t="s">
        <v>127</v>
      </c>
      <c r="I41" t="s">
        <v>308</v>
      </c>
      <c r="J41" s="28">
        <f>0.016*E41</f>
        <v>3.2000000000000001E-2</v>
      </c>
      <c r="K41">
        <v>2</v>
      </c>
      <c r="L41" t="s">
        <v>127</v>
      </c>
      <c r="M41" t="s">
        <v>129</v>
      </c>
    </row>
    <row r="42" spans="1:13" x14ac:dyDescent="0.25">
      <c r="A42">
        <v>41</v>
      </c>
      <c r="B42" t="s">
        <v>309</v>
      </c>
      <c r="C42" s="29" t="s">
        <v>310</v>
      </c>
      <c r="D42" t="s">
        <v>247</v>
      </c>
      <c r="E42">
        <v>1</v>
      </c>
      <c r="F42" t="s">
        <v>311</v>
      </c>
      <c r="G42" t="s">
        <v>258</v>
      </c>
      <c r="H42" t="s">
        <v>127</v>
      </c>
      <c r="I42" t="s">
        <v>312</v>
      </c>
      <c r="J42" s="28">
        <f t="shared" ref="J42:J56" si="2">0.016*E42</f>
        <v>1.6E-2</v>
      </c>
      <c r="K42">
        <v>2</v>
      </c>
      <c r="L42" t="s">
        <v>127</v>
      </c>
      <c r="M42" t="s">
        <v>129</v>
      </c>
    </row>
    <row r="43" spans="1:13" x14ac:dyDescent="0.25">
      <c r="A43">
        <v>42</v>
      </c>
      <c r="B43" t="s">
        <v>313</v>
      </c>
      <c r="C43" s="29" t="s">
        <v>314</v>
      </c>
      <c r="D43" t="s">
        <v>247</v>
      </c>
      <c r="E43">
        <v>3</v>
      </c>
      <c r="F43" t="s">
        <v>315</v>
      </c>
      <c r="G43" t="s">
        <v>263</v>
      </c>
      <c r="H43" t="s">
        <v>127</v>
      </c>
      <c r="I43" t="s">
        <v>316</v>
      </c>
      <c r="J43" s="28">
        <f t="shared" si="2"/>
        <v>4.8000000000000001E-2</v>
      </c>
      <c r="K43">
        <v>2</v>
      </c>
      <c r="L43" t="s">
        <v>148</v>
      </c>
      <c r="M43" t="s">
        <v>129</v>
      </c>
    </row>
    <row r="44" spans="1:13" x14ac:dyDescent="0.25">
      <c r="A44">
        <v>43</v>
      </c>
      <c r="B44" t="s">
        <v>317</v>
      </c>
      <c r="C44" s="29" t="s">
        <v>318</v>
      </c>
      <c r="D44" t="s">
        <v>247</v>
      </c>
      <c r="E44">
        <v>1</v>
      </c>
      <c r="F44" t="s">
        <v>319</v>
      </c>
      <c r="G44" t="s">
        <v>276</v>
      </c>
      <c r="H44" t="s">
        <v>127</v>
      </c>
      <c r="I44" t="s">
        <v>320</v>
      </c>
      <c r="J44" s="28">
        <f t="shared" si="2"/>
        <v>1.6E-2</v>
      </c>
      <c r="K44">
        <v>2</v>
      </c>
      <c r="L44" t="s">
        <v>148</v>
      </c>
      <c r="M44" t="s">
        <v>129</v>
      </c>
    </row>
    <row r="45" spans="1:13" x14ac:dyDescent="0.25">
      <c r="A45">
        <v>44</v>
      </c>
      <c r="B45" t="s">
        <v>321</v>
      </c>
      <c r="C45" s="29" t="s">
        <v>322</v>
      </c>
      <c r="D45" t="s">
        <v>247</v>
      </c>
      <c r="E45">
        <v>1</v>
      </c>
      <c r="F45" t="s">
        <v>267</v>
      </c>
      <c r="G45" t="s">
        <v>263</v>
      </c>
      <c r="H45" t="s">
        <v>127</v>
      </c>
      <c r="I45" t="s">
        <v>268</v>
      </c>
      <c r="J45" s="28">
        <f t="shared" si="2"/>
        <v>1.6E-2</v>
      </c>
      <c r="K45">
        <v>2</v>
      </c>
      <c r="L45" t="s">
        <v>148</v>
      </c>
      <c r="M45" t="s">
        <v>129</v>
      </c>
    </row>
    <row r="46" spans="1:13" x14ac:dyDescent="0.25">
      <c r="A46">
        <v>45</v>
      </c>
      <c r="B46" t="s">
        <v>323</v>
      </c>
      <c r="C46" s="29" t="s">
        <v>324</v>
      </c>
      <c r="D46" t="s">
        <v>325</v>
      </c>
      <c r="E46">
        <v>1</v>
      </c>
      <c r="F46" t="s">
        <v>323</v>
      </c>
      <c r="G46" t="s">
        <v>326</v>
      </c>
      <c r="H46" t="s">
        <v>127</v>
      </c>
      <c r="I46" t="s">
        <v>327</v>
      </c>
      <c r="J46" s="28">
        <f t="shared" si="2"/>
        <v>1.6E-2</v>
      </c>
      <c r="K46">
        <v>4</v>
      </c>
      <c r="L46" t="s">
        <v>127</v>
      </c>
      <c r="M46" t="s">
        <v>129</v>
      </c>
    </row>
    <row r="47" spans="1:13" x14ac:dyDescent="0.25">
      <c r="A47">
        <v>46</v>
      </c>
      <c r="B47" t="s">
        <v>328</v>
      </c>
      <c r="C47" s="29" t="s">
        <v>329</v>
      </c>
      <c r="D47" t="s">
        <v>330</v>
      </c>
      <c r="E47">
        <v>1</v>
      </c>
      <c r="F47" t="s">
        <v>331</v>
      </c>
      <c r="G47" t="s">
        <v>332</v>
      </c>
      <c r="H47" t="s">
        <v>127</v>
      </c>
      <c r="I47" t="s">
        <v>333</v>
      </c>
      <c r="J47" s="28">
        <f t="shared" si="2"/>
        <v>1.6E-2</v>
      </c>
      <c r="K47">
        <v>6</v>
      </c>
      <c r="M47" t="s">
        <v>129</v>
      </c>
    </row>
    <row r="48" spans="1:13" x14ac:dyDescent="0.25">
      <c r="A48">
        <v>47</v>
      </c>
      <c r="B48" t="s">
        <v>334</v>
      </c>
      <c r="C48" s="29" t="s">
        <v>335</v>
      </c>
      <c r="D48" t="s">
        <v>336</v>
      </c>
      <c r="E48">
        <v>1</v>
      </c>
      <c r="F48" t="s">
        <v>334</v>
      </c>
      <c r="G48" t="s">
        <v>337</v>
      </c>
      <c r="H48" t="s">
        <v>127</v>
      </c>
      <c r="I48" t="s">
        <v>338</v>
      </c>
      <c r="J48" s="28">
        <f t="shared" si="2"/>
        <v>1.6E-2</v>
      </c>
      <c r="K48">
        <v>6</v>
      </c>
      <c r="M48" t="s">
        <v>129</v>
      </c>
    </row>
    <row r="49" spans="1:16" x14ac:dyDescent="0.25">
      <c r="A49">
        <v>48</v>
      </c>
      <c r="B49" t="s">
        <v>339</v>
      </c>
      <c r="C49" s="29" t="s">
        <v>340</v>
      </c>
      <c r="D49" t="s">
        <v>341</v>
      </c>
      <c r="E49">
        <v>2</v>
      </c>
      <c r="F49" t="s">
        <v>342</v>
      </c>
      <c r="G49" t="s">
        <v>146</v>
      </c>
      <c r="H49" t="s">
        <v>127</v>
      </c>
      <c r="I49" t="s">
        <v>343</v>
      </c>
      <c r="J49" s="28">
        <f t="shared" si="2"/>
        <v>3.2000000000000001E-2</v>
      </c>
      <c r="K49">
        <v>2</v>
      </c>
      <c r="L49" t="s">
        <v>148</v>
      </c>
      <c r="M49" t="s">
        <v>129</v>
      </c>
    </row>
    <row r="50" spans="1:16" x14ac:dyDescent="0.25">
      <c r="A50">
        <v>49</v>
      </c>
      <c r="B50" t="s">
        <v>344</v>
      </c>
      <c r="C50" s="29" t="s">
        <v>345</v>
      </c>
      <c r="D50" t="s">
        <v>346</v>
      </c>
      <c r="E50">
        <v>2</v>
      </c>
      <c r="F50" t="s">
        <v>344</v>
      </c>
      <c r="G50" t="s">
        <v>347</v>
      </c>
      <c r="H50" t="s">
        <v>127</v>
      </c>
      <c r="I50" t="s">
        <v>348</v>
      </c>
      <c r="J50" s="28">
        <f t="shared" si="2"/>
        <v>3.2000000000000001E-2</v>
      </c>
      <c r="K50">
        <v>3</v>
      </c>
      <c r="L50" t="s">
        <v>148</v>
      </c>
    </row>
    <row r="51" spans="1:16" x14ac:dyDescent="0.25">
      <c r="A51">
        <v>50</v>
      </c>
      <c r="B51" t="s">
        <v>349</v>
      </c>
      <c r="C51" s="29" t="s">
        <v>350</v>
      </c>
      <c r="D51" t="s">
        <v>351</v>
      </c>
      <c r="E51">
        <v>1</v>
      </c>
      <c r="F51" t="s">
        <v>349</v>
      </c>
      <c r="G51" t="s">
        <v>352</v>
      </c>
      <c r="I51" t="s">
        <v>353</v>
      </c>
      <c r="J51" s="28">
        <f t="shared" si="2"/>
        <v>1.6E-2</v>
      </c>
      <c r="K51">
        <v>9</v>
      </c>
      <c r="L51" t="s">
        <v>354</v>
      </c>
    </row>
    <row r="52" spans="1:16" x14ac:dyDescent="0.25">
      <c r="A52">
        <v>51</v>
      </c>
      <c r="B52" t="s">
        <v>355</v>
      </c>
      <c r="C52" s="29" t="s">
        <v>356</v>
      </c>
      <c r="D52" t="s">
        <v>357</v>
      </c>
      <c r="E52">
        <v>1</v>
      </c>
      <c r="F52" t="s">
        <v>355</v>
      </c>
      <c r="G52" t="s">
        <v>358</v>
      </c>
      <c r="H52" t="s">
        <v>127</v>
      </c>
      <c r="I52" t="s">
        <v>359</v>
      </c>
      <c r="J52" s="28">
        <f t="shared" si="2"/>
        <v>1.6E-2</v>
      </c>
      <c r="K52">
        <v>16</v>
      </c>
      <c r="M52" t="s">
        <v>129</v>
      </c>
    </row>
    <row r="53" spans="1:16" x14ac:dyDescent="0.25">
      <c r="A53">
        <v>52</v>
      </c>
      <c r="B53" t="s">
        <v>360</v>
      </c>
      <c r="C53" s="29" t="s">
        <v>361</v>
      </c>
      <c r="D53" t="s">
        <v>362</v>
      </c>
      <c r="E53">
        <v>1</v>
      </c>
      <c r="F53" t="s">
        <v>363</v>
      </c>
      <c r="G53" t="s">
        <v>364</v>
      </c>
      <c r="H53" t="s">
        <v>127</v>
      </c>
      <c r="I53" t="s">
        <v>365</v>
      </c>
      <c r="J53" s="28">
        <f t="shared" si="2"/>
        <v>1.6E-2</v>
      </c>
      <c r="K53">
        <v>39</v>
      </c>
      <c r="L53" t="s">
        <v>127</v>
      </c>
      <c r="M53" t="s">
        <v>129</v>
      </c>
    </row>
    <row r="54" spans="1:16" x14ac:dyDescent="0.25">
      <c r="A54">
        <v>53</v>
      </c>
      <c r="B54" t="s">
        <v>366</v>
      </c>
      <c r="C54" s="29" t="s">
        <v>367</v>
      </c>
      <c r="D54" t="s">
        <v>368</v>
      </c>
      <c r="E54">
        <v>1</v>
      </c>
      <c r="F54" t="s">
        <v>366</v>
      </c>
      <c r="G54" t="s">
        <v>369</v>
      </c>
      <c r="H54" t="s">
        <v>127</v>
      </c>
      <c r="I54" t="s">
        <v>370</v>
      </c>
      <c r="J54" s="28">
        <f t="shared" si="2"/>
        <v>1.6E-2</v>
      </c>
      <c r="K54">
        <v>25</v>
      </c>
      <c r="L54" t="s">
        <v>127</v>
      </c>
      <c r="M54" t="s">
        <v>129</v>
      </c>
    </row>
    <row r="55" spans="1:16" x14ac:dyDescent="0.25">
      <c r="A55">
        <v>54</v>
      </c>
      <c r="B55" t="s">
        <v>371</v>
      </c>
      <c r="C55" s="29" t="s">
        <v>372</v>
      </c>
      <c r="D55" t="s">
        <v>373</v>
      </c>
      <c r="E55">
        <v>1</v>
      </c>
      <c r="F55" t="s">
        <v>371</v>
      </c>
      <c r="G55" t="s">
        <v>374</v>
      </c>
      <c r="H55" t="s">
        <v>127</v>
      </c>
      <c r="I55" t="s">
        <v>375</v>
      </c>
      <c r="J55" s="28">
        <f t="shared" si="2"/>
        <v>1.6E-2</v>
      </c>
      <c r="K55">
        <v>10</v>
      </c>
      <c r="M55" t="s">
        <v>129</v>
      </c>
    </row>
    <row r="56" spans="1:16" x14ac:dyDescent="0.25">
      <c r="A56">
        <v>55</v>
      </c>
      <c r="B56" t="s">
        <v>376</v>
      </c>
      <c r="C56" s="29" t="s">
        <v>377</v>
      </c>
      <c r="D56" t="s">
        <v>378</v>
      </c>
      <c r="E56">
        <v>1</v>
      </c>
      <c r="F56" t="s">
        <v>376</v>
      </c>
      <c r="G56" t="s">
        <v>379</v>
      </c>
      <c r="H56" t="s">
        <v>127</v>
      </c>
      <c r="I56" t="s">
        <v>380</v>
      </c>
      <c r="J56" s="28">
        <f t="shared" si="2"/>
        <v>1.6E-2</v>
      </c>
      <c r="K56">
        <v>3</v>
      </c>
      <c r="L56" t="s">
        <v>148</v>
      </c>
      <c r="M56" t="s">
        <v>129</v>
      </c>
    </row>
    <row r="57" spans="1:16" x14ac:dyDescent="0.25">
      <c r="A57">
        <v>56</v>
      </c>
      <c r="B57" t="s">
        <v>381</v>
      </c>
      <c r="C57" s="29" t="s">
        <v>382</v>
      </c>
      <c r="D57" t="s">
        <v>383</v>
      </c>
      <c r="E57">
        <v>1</v>
      </c>
      <c r="J57" s="28"/>
      <c r="K57">
        <v>24</v>
      </c>
      <c r="L57" t="s">
        <v>384</v>
      </c>
      <c r="P57">
        <v>1</v>
      </c>
    </row>
    <row r="58" spans="1:16" x14ac:dyDescent="0.25">
      <c r="A58">
        <v>57</v>
      </c>
      <c r="B58" t="s">
        <v>385</v>
      </c>
      <c r="C58" s="29"/>
      <c r="E58">
        <v>1</v>
      </c>
      <c r="J58" s="28"/>
    </row>
    <row r="59" spans="1:16" x14ac:dyDescent="0.25">
      <c r="E59" s="27">
        <f>SUM(E2:E58)</f>
        <v>92</v>
      </c>
      <c r="J59" s="28">
        <f>SUM(J2:J57)</f>
        <v>16.847999999999981</v>
      </c>
    </row>
    <row r="60" spans="1:16" x14ac:dyDescent="0.25">
      <c r="J60" s="7">
        <f>J59*24.093</f>
        <v>405.91886399999953</v>
      </c>
    </row>
  </sheetData>
  <pageMargins left="0.70866141732283472" right="0.70866141732283472" top="0.78740157480314965" bottom="0.78740157480314965" header="0.31496062992125984" footer="0.31496062992125984"/>
  <pageSetup paperSize="9" orientation="landscape" horizontalDpi="1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16" sqref="E16"/>
    </sheetView>
  </sheetViews>
  <sheetFormatPr defaultRowHeight="15" x14ac:dyDescent="0.25"/>
  <cols>
    <col min="1" max="1" width="25.5703125" bestFit="1" customWidth="1"/>
    <col min="2" max="2" width="13.28515625" bestFit="1" customWidth="1"/>
    <col min="4" max="4" width="17.42578125" bestFit="1" customWidth="1"/>
    <col min="5" max="5" width="13.28515625" bestFit="1" customWidth="1"/>
  </cols>
  <sheetData>
    <row r="1" spans="1:5" x14ac:dyDescent="0.25">
      <c r="A1" t="s">
        <v>386</v>
      </c>
      <c r="B1" t="s">
        <v>387</v>
      </c>
      <c r="D1" t="s">
        <v>388</v>
      </c>
      <c r="E1" t="s">
        <v>387</v>
      </c>
    </row>
    <row r="2" spans="1:5" x14ac:dyDescent="0.25">
      <c r="A2" t="s">
        <v>389</v>
      </c>
      <c r="B2" s="7">
        <v>90</v>
      </c>
      <c r="D2" t="s">
        <v>390</v>
      </c>
      <c r="E2" s="7">
        <v>3000</v>
      </c>
    </row>
    <row r="3" spans="1:5" x14ac:dyDescent="0.25">
      <c r="A3" t="s">
        <v>391</v>
      </c>
      <c r="B3" s="7">
        <v>120</v>
      </c>
      <c r="D3" t="s">
        <v>392</v>
      </c>
      <c r="E3" s="7">
        <v>1600</v>
      </c>
    </row>
    <row r="4" spans="1:5" x14ac:dyDescent="0.25">
      <c r="A4" t="s">
        <v>393</v>
      </c>
      <c r="B4" s="7">
        <v>300</v>
      </c>
      <c r="D4" t="s">
        <v>394</v>
      </c>
      <c r="E4" s="7"/>
    </row>
    <row r="5" spans="1:5" x14ac:dyDescent="0.25">
      <c r="A5" t="s">
        <v>395</v>
      </c>
      <c r="B5" s="7">
        <v>360</v>
      </c>
      <c r="D5" t="s">
        <v>396</v>
      </c>
      <c r="E5" s="7">
        <v>250</v>
      </c>
    </row>
    <row r="6" spans="1:5" x14ac:dyDescent="0.25">
      <c r="A6" t="s">
        <v>397</v>
      </c>
      <c r="B6" s="7">
        <f>13.5*24</f>
        <v>324</v>
      </c>
      <c r="D6" t="s">
        <v>398</v>
      </c>
      <c r="E6" s="7">
        <v>3000</v>
      </c>
    </row>
    <row r="7" spans="1:5" x14ac:dyDescent="0.25">
      <c r="A7" t="s">
        <v>399</v>
      </c>
      <c r="B7" s="7">
        <v>50</v>
      </c>
      <c r="D7" t="s">
        <v>400</v>
      </c>
      <c r="E7" s="7">
        <v>500</v>
      </c>
    </row>
    <row r="8" spans="1:5" x14ac:dyDescent="0.25">
      <c r="A8" t="s">
        <v>401</v>
      </c>
      <c r="B8" s="7">
        <v>274</v>
      </c>
      <c r="D8" t="s">
        <v>402</v>
      </c>
      <c r="E8" s="7">
        <v>50</v>
      </c>
    </row>
    <row r="9" spans="1:5" x14ac:dyDescent="0.25">
      <c r="A9" t="s">
        <v>403</v>
      </c>
      <c r="B9" s="7">
        <v>93</v>
      </c>
      <c r="D9" t="s">
        <v>404</v>
      </c>
      <c r="E9" s="7">
        <v>1000</v>
      </c>
    </row>
    <row r="10" spans="1:5" x14ac:dyDescent="0.25">
      <c r="A10" t="s">
        <v>405</v>
      </c>
      <c r="B10" s="7">
        <v>175</v>
      </c>
      <c r="D10" t="s">
        <v>406</v>
      </c>
      <c r="E10" s="7">
        <v>1500</v>
      </c>
    </row>
    <row r="11" spans="1:5" x14ac:dyDescent="0.25">
      <c r="A11" t="s">
        <v>407</v>
      </c>
      <c r="B11" s="7">
        <v>250</v>
      </c>
    </row>
    <row r="12" spans="1:5" x14ac:dyDescent="0.25">
      <c r="A12" t="s">
        <v>408</v>
      </c>
      <c r="B12" s="7">
        <v>1250</v>
      </c>
    </row>
    <row r="13" spans="1:5" x14ac:dyDescent="0.25">
      <c r="A13" t="s">
        <v>409</v>
      </c>
      <c r="B13" s="7">
        <v>600</v>
      </c>
    </row>
    <row r="14" spans="1:5" x14ac:dyDescent="0.25">
      <c r="A14" t="s">
        <v>410</v>
      </c>
      <c r="B14" s="7">
        <v>50</v>
      </c>
    </row>
    <row r="15" spans="1:5" x14ac:dyDescent="0.25">
      <c r="A15" t="s">
        <v>411</v>
      </c>
      <c r="B15" s="7">
        <v>1051.5</v>
      </c>
    </row>
    <row r="16" spans="1:5" x14ac:dyDescent="0.25">
      <c r="A16" t="s">
        <v>412</v>
      </c>
      <c r="B16" s="7">
        <f>SUM(B2:B15)</f>
        <v>4987.5</v>
      </c>
      <c r="D16" t="s">
        <v>412</v>
      </c>
      <c r="E16" s="7">
        <f>SUM(E2:E15)</f>
        <v>10900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D24" sqref="D24"/>
    </sheetView>
  </sheetViews>
  <sheetFormatPr defaultRowHeight="15" x14ac:dyDescent="0.25"/>
  <cols>
    <col min="1" max="1" width="25.85546875" customWidth="1"/>
    <col min="2" max="2" width="12.28515625" bestFit="1" customWidth="1"/>
    <col min="3" max="3" width="11.5703125" bestFit="1" customWidth="1"/>
    <col min="4" max="4" width="13.42578125" bestFit="1" customWidth="1"/>
    <col min="5" max="5" width="6.7109375" bestFit="1" customWidth="1"/>
    <col min="6" max="6" width="11.5703125" bestFit="1" customWidth="1"/>
    <col min="8" max="8" width="255.7109375" bestFit="1" customWidth="1"/>
  </cols>
  <sheetData>
    <row r="1" spans="1:9" x14ac:dyDescent="0.25">
      <c r="A1" s="4"/>
      <c r="B1" s="4" t="s">
        <v>413</v>
      </c>
      <c r="C1" s="4" t="s">
        <v>414</v>
      </c>
      <c r="D1" s="4" t="s">
        <v>415</v>
      </c>
      <c r="E1" s="4" t="s">
        <v>416</v>
      </c>
      <c r="F1" s="4" t="s">
        <v>417</v>
      </c>
      <c r="G1" s="4"/>
      <c r="H1" s="4"/>
      <c r="I1" s="4"/>
    </row>
    <row r="2" spans="1:9" x14ac:dyDescent="0.25">
      <c r="A2" s="4" t="s">
        <v>418</v>
      </c>
      <c r="B2" s="4" t="s">
        <v>419</v>
      </c>
      <c r="C2" s="4" t="s">
        <v>419</v>
      </c>
      <c r="D2" s="4" t="s">
        <v>419</v>
      </c>
      <c r="E2" s="4" t="s">
        <v>420</v>
      </c>
      <c r="F2" s="4" t="s">
        <v>419</v>
      </c>
      <c r="G2" s="4"/>
      <c r="H2" s="4" t="s">
        <v>421</v>
      </c>
      <c r="I2" s="4"/>
    </row>
    <row r="3" spans="1:9" x14ac:dyDescent="0.25">
      <c r="A3" s="4" t="s">
        <v>422</v>
      </c>
      <c r="B3" s="4" t="s">
        <v>423</v>
      </c>
      <c r="C3" s="4" t="s">
        <v>423</v>
      </c>
      <c r="D3" s="4" t="s">
        <v>424</v>
      </c>
      <c r="E3" s="4" t="s">
        <v>423</v>
      </c>
      <c r="F3" s="4" t="s">
        <v>424</v>
      </c>
      <c r="G3" s="4"/>
      <c r="H3" s="4" t="s">
        <v>425</v>
      </c>
      <c r="I3" s="4"/>
    </row>
    <row r="4" spans="1:9" x14ac:dyDescent="0.25">
      <c r="A4" s="4" t="s">
        <v>426</v>
      </c>
      <c r="B4" s="4" t="s">
        <v>424</v>
      </c>
      <c r="C4" s="4" t="s">
        <v>423</v>
      </c>
      <c r="D4" s="4" t="s">
        <v>424</v>
      </c>
      <c r="E4" s="4" t="s">
        <v>424</v>
      </c>
      <c r="F4" s="4" t="s">
        <v>424</v>
      </c>
      <c r="G4" s="4"/>
      <c r="H4" s="5" t="s">
        <v>427</v>
      </c>
      <c r="I4" s="4"/>
    </row>
    <row r="5" spans="1:9" x14ac:dyDescent="0.25">
      <c r="A5" s="4" t="s">
        <v>428</v>
      </c>
      <c r="B5" s="4">
        <v>550</v>
      </c>
      <c r="C5" s="4">
        <v>3641</v>
      </c>
      <c r="D5" s="4">
        <v>5802</v>
      </c>
      <c r="E5" s="4">
        <v>3748</v>
      </c>
      <c r="F5" s="4">
        <v>107962</v>
      </c>
      <c r="G5" s="4"/>
      <c r="H5" s="4" t="s">
        <v>429</v>
      </c>
      <c r="I5" s="4"/>
    </row>
    <row r="6" spans="1:9" x14ac:dyDescent="0.25">
      <c r="A6" s="4"/>
      <c r="B6" s="4"/>
      <c r="C6" s="4"/>
      <c r="D6" s="4"/>
      <c r="E6" s="4"/>
      <c r="F6" s="4"/>
      <c r="G6" s="4"/>
      <c r="H6" s="4" t="s">
        <v>430</v>
      </c>
      <c r="I6" s="4"/>
    </row>
    <row r="7" spans="1:9" x14ac:dyDescent="0.25">
      <c r="A7" s="6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</sheetData>
  <hyperlinks>
    <hyperlink ref="H4" r:id="rId1" xr:uid="{00000000-0004-0000-0200-000000000000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M13" sqref="M13"/>
    </sheetView>
  </sheetViews>
  <sheetFormatPr defaultRowHeight="15" x14ac:dyDescent="0.25"/>
  <cols>
    <col min="1" max="1" width="30.7109375" bestFit="1" customWidth="1"/>
    <col min="2" max="2" width="31.140625" customWidth="1"/>
    <col min="3" max="3" width="16.85546875" bestFit="1" customWidth="1"/>
    <col min="5" max="5" width="22.42578125" bestFit="1" customWidth="1"/>
  </cols>
  <sheetData>
    <row r="1" spans="1:8" x14ac:dyDescent="0.25">
      <c r="A1" s="11" t="s">
        <v>3</v>
      </c>
      <c r="B1" s="11" t="s">
        <v>431</v>
      </c>
      <c r="C1" s="11" t="s">
        <v>432</v>
      </c>
      <c r="F1" s="11" t="s">
        <v>433</v>
      </c>
    </row>
    <row r="2" spans="1:8" ht="18" x14ac:dyDescent="0.35">
      <c r="A2" s="4" t="s">
        <v>434</v>
      </c>
      <c r="B2" s="4" t="s">
        <v>435</v>
      </c>
      <c r="C2" s="12">
        <v>40</v>
      </c>
      <c r="E2" s="4"/>
      <c r="F2" s="12" t="s">
        <v>3</v>
      </c>
      <c r="G2" s="4"/>
      <c r="H2" s="17"/>
    </row>
    <row r="3" spans="1:8" x14ac:dyDescent="0.25">
      <c r="A3" s="4" t="s">
        <v>436</v>
      </c>
      <c r="B3" s="4" t="s">
        <v>437</v>
      </c>
      <c r="C3" s="12">
        <v>4.5999999999999996</v>
      </c>
      <c r="E3" s="4"/>
      <c r="F3" s="4" t="s">
        <v>438</v>
      </c>
      <c r="G3" s="4"/>
      <c r="H3" s="4"/>
    </row>
    <row r="4" spans="1:8" x14ac:dyDescent="0.25">
      <c r="A4" s="4" t="s">
        <v>439</v>
      </c>
      <c r="B4" s="4" t="s">
        <v>440</v>
      </c>
      <c r="C4" s="12">
        <v>9.81</v>
      </c>
      <c r="E4" s="4"/>
      <c r="F4" s="4"/>
      <c r="G4" s="4"/>
      <c r="H4" s="4"/>
    </row>
    <row r="5" spans="1:8" ht="18" x14ac:dyDescent="0.35">
      <c r="A5" s="4" t="s">
        <v>441</v>
      </c>
      <c r="B5" s="4" t="s">
        <v>442</v>
      </c>
      <c r="C5" s="12">
        <v>60</v>
      </c>
      <c r="E5" s="4"/>
      <c r="F5" s="4"/>
      <c r="G5" s="4"/>
      <c r="H5" s="4"/>
    </row>
    <row r="6" spans="1:8" x14ac:dyDescent="0.25">
      <c r="A6" s="4" t="s">
        <v>443</v>
      </c>
      <c r="B6" s="4"/>
      <c r="C6" s="14">
        <v>0.1</v>
      </c>
      <c r="E6" s="4"/>
      <c r="F6" s="4"/>
      <c r="G6" s="4"/>
      <c r="H6" s="4"/>
    </row>
    <row r="7" spans="1:8" x14ac:dyDescent="0.25">
      <c r="A7" s="4" t="s">
        <v>444</v>
      </c>
      <c r="B7" s="4"/>
      <c r="C7" s="12">
        <v>4</v>
      </c>
      <c r="E7" s="4"/>
      <c r="F7" s="4"/>
      <c r="G7" s="4"/>
      <c r="H7" s="4"/>
    </row>
    <row r="8" spans="1:8" x14ac:dyDescent="0.25">
      <c r="A8" s="4"/>
      <c r="C8" s="4"/>
      <c r="D8" s="4"/>
      <c r="E8" s="4"/>
      <c r="F8" s="4"/>
      <c r="G8" s="4"/>
      <c r="H8" s="4"/>
    </row>
    <row r="9" spans="1:8" x14ac:dyDescent="0.25">
      <c r="A9" s="11" t="s">
        <v>445</v>
      </c>
      <c r="C9" s="4"/>
      <c r="D9" s="4"/>
      <c r="H9" s="4"/>
    </row>
    <row r="10" spans="1:8" ht="18" x14ac:dyDescent="0.35">
      <c r="A10" s="4" t="s">
        <v>446</v>
      </c>
      <c r="B10" s="4" t="s">
        <v>447</v>
      </c>
      <c r="C10" s="13">
        <f>$C$5*$C$6</f>
        <v>6</v>
      </c>
      <c r="H10" s="4"/>
    </row>
    <row r="11" spans="1:8" ht="18" x14ac:dyDescent="0.35">
      <c r="A11" s="4" t="s">
        <v>448</v>
      </c>
      <c r="B11" s="4" t="s">
        <v>449</v>
      </c>
      <c r="C11" s="13">
        <f>($C$10*PI()*$C$3*$C$3*$C$3)/(8*$C$2)</f>
        <v>5.7335636724340509</v>
      </c>
      <c r="H11" s="4"/>
    </row>
    <row r="12" spans="1:8" ht="18" x14ac:dyDescent="0.35">
      <c r="A12" s="4" t="s">
        <v>450</v>
      </c>
      <c r="B12" s="4" t="s">
        <v>451</v>
      </c>
      <c r="C12" s="13">
        <f>$C$11/$C$4</f>
        <v>0.58446112868848632</v>
      </c>
      <c r="H12" s="4"/>
    </row>
    <row r="13" spans="1:8" x14ac:dyDescent="0.25">
      <c r="A13" s="4" t="s">
        <v>452</v>
      </c>
      <c r="B13" s="4" t="s">
        <v>453</v>
      </c>
      <c r="C13" s="13">
        <f>$C$11*$C$7</f>
        <v>22.934254689736203</v>
      </c>
      <c r="H13" s="4"/>
    </row>
    <row r="14" spans="1:8" x14ac:dyDescent="0.25">
      <c r="A14" s="4" t="s">
        <v>454</v>
      </c>
      <c r="B14" s="4" t="s">
        <v>455</v>
      </c>
      <c r="C14" s="13">
        <f>$C$13/$C$4</f>
        <v>2.3378445147539453</v>
      </c>
      <c r="H14" s="4"/>
    </row>
    <row r="15" spans="1:8" x14ac:dyDescent="0.25">
      <c r="A15" s="4"/>
      <c r="B15" s="4"/>
      <c r="C15" s="13"/>
      <c r="D15" s="4"/>
      <c r="E15" s="4"/>
      <c r="F15" s="4"/>
      <c r="G15" s="4"/>
      <c r="H15" s="4"/>
    </row>
    <row r="16" spans="1:8" x14ac:dyDescent="0.25">
      <c r="B16" s="4"/>
      <c r="C16" s="13"/>
      <c r="D16" s="4"/>
      <c r="E16" s="4"/>
      <c r="F16" s="4"/>
      <c r="G16" s="4"/>
      <c r="H16" s="4"/>
    </row>
    <row r="17" spans="1:8" x14ac:dyDescent="0.25">
      <c r="A17" s="4"/>
      <c r="B17" s="4"/>
      <c r="C17" s="13"/>
      <c r="D17" s="4"/>
      <c r="F17" s="4"/>
      <c r="G17" s="4"/>
      <c r="H17" s="4"/>
    </row>
    <row r="18" spans="1:8" x14ac:dyDescent="0.25">
      <c r="A18" s="4"/>
      <c r="B18" s="4"/>
      <c r="C18" s="13"/>
      <c r="D18" s="4"/>
      <c r="F18" s="4"/>
      <c r="G18" s="4"/>
      <c r="H18" s="4"/>
    </row>
    <row r="19" spans="1:8" x14ac:dyDescent="0.25">
      <c r="A19" s="4"/>
      <c r="B19" s="4"/>
      <c r="C19" s="13"/>
      <c r="D19" s="4"/>
      <c r="F19" s="4"/>
      <c r="G19" s="4"/>
      <c r="H19" s="4"/>
    </row>
    <row r="20" spans="1:8" x14ac:dyDescent="0.25">
      <c r="A20" s="4"/>
      <c r="B20" s="4"/>
      <c r="C20" s="13"/>
      <c r="D20" s="4"/>
      <c r="F20" s="4"/>
      <c r="G20" s="4"/>
      <c r="H20" s="4"/>
    </row>
    <row r="21" spans="1:8" x14ac:dyDescent="0.25">
      <c r="A21" s="4"/>
      <c r="B21" s="4"/>
      <c r="C21" s="13"/>
      <c r="D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5" sqref="D5"/>
    </sheetView>
  </sheetViews>
  <sheetFormatPr defaultRowHeight="15" x14ac:dyDescent="0.25"/>
  <cols>
    <col min="1" max="1" width="20.85546875" bestFit="1" customWidth="1"/>
  </cols>
  <sheetData>
    <row r="1" spans="1:4" x14ac:dyDescent="0.25">
      <c r="A1" s="1" t="s">
        <v>456</v>
      </c>
      <c r="B1" s="15">
        <v>1.8</v>
      </c>
      <c r="C1" s="1" t="s">
        <v>457</v>
      </c>
      <c r="D1" s="1"/>
    </row>
    <row r="2" spans="1:4" x14ac:dyDescent="0.25">
      <c r="A2" s="1" t="s">
        <v>458</v>
      </c>
      <c r="B2" s="15">
        <v>5</v>
      </c>
      <c r="C2" s="1" t="s">
        <v>459</v>
      </c>
      <c r="D2" s="1"/>
    </row>
    <row r="3" spans="1:4" x14ac:dyDescent="0.25">
      <c r="A3" s="1" t="s">
        <v>460</v>
      </c>
      <c r="B3" s="15">
        <v>8</v>
      </c>
      <c r="C3" s="1"/>
      <c r="D3" s="1"/>
    </row>
    <row r="4" spans="1:4" x14ac:dyDescent="0.25">
      <c r="A4" s="1" t="s">
        <v>461</v>
      </c>
      <c r="B4" s="1">
        <f>((360/B1)*B3)/5</f>
        <v>320</v>
      </c>
      <c r="C4" s="1"/>
      <c r="D4" s="1"/>
    </row>
    <row r="5" spans="1:4" x14ac:dyDescent="0.25">
      <c r="A5" s="1"/>
      <c r="B5" s="1"/>
      <c r="C5" s="1"/>
      <c r="D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K7" sqref="K7"/>
    </sheetView>
  </sheetViews>
  <sheetFormatPr defaultRowHeight="15" x14ac:dyDescent="0.25"/>
  <cols>
    <col min="1" max="1" width="15.42578125" bestFit="1" customWidth="1"/>
    <col min="2" max="2" width="16.85546875" bestFit="1" customWidth="1"/>
  </cols>
  <sheetData>
    <row r="1" spans="1:6" x14ac:dyDescent="0.25">
      <c r="A1" s="11" t="s">
        <v>3</v>
      </c>
      <c r="B1" s="11" t="s">
        <v>462</v>
      </c>
      <c r="C1" s="11" t="s">
        <v>432</v>
      </c>
      <c r="F1" s="16" t="s">
        <v>433</v>
      </c>
    </row>
    <row r="2" spans="1:6" ht="17.25" x14ac:dyDescent="0.25">
      <c r="A2" t="s">
        <v>463</v>
      </c>
      <c r="B2" t="s">
        <v>464</v>
      </c>
      <c r="C2" s="12">
        <v>4260</v>
      </c>
      <c r="F2" s="12" t="s">
        <v>3</v>
      </c>
    </row>
    <row r="3" spans="1:6" x14ac:dyDescent="0.25">
      <c r="A3" t="s">
        <v>465</v>
      </c>
      <c r="B3" t="s">
        <v>466</v>
      </c>
      <c r="C3" s="12">
        <v>3.125</v>
      </c>
      <c r="F3" t="s">
        <v>438</v>
      </c>
    </row>
    <row r="4" spans="1:6" x14ac:dyDescent="0.25">
      <c r="A4" t="s">
        <v>467</v>
      </c>
      <c r="B4" t="s">
        <v>468</v>
      </c>
      <c r="C4" s="12">
        <v>1</v>
      </c>
    </row>
    <row r="5" spans="1:6" ht="18" x14ac:dyDescent="0.35">
      <c r="A5" t="s">
        <v>469</v>
      </c>
      <c r="B5" t="s">
        <v>470</v>
      </c>
      <c r="C5" s="12">
        <v>0.02</v>
      </c>
    </row>
    <row r="7" spans="1:6" ht="18.75" x14ac:dyDescent="0.35">
      <c r="A7" t="s">
        <v>471</v>
      </c>
      <c r="B7" t="s">
        <v>472</v>
      </c>
      <c r="C7">
        <f>(PI()*C3*C2)/1000</f>
        <v>41.822452200914121</v>
      </c>
    </row>
    <row r="8" spans="1:6" ht="18.75" x14ac:dyDescent="0.35">
      <c r="A8" t="s">
        <v>473</v>
      </c>
      <c r="B8" t="s">
        <v>474</v>
      </c>
      <c r="C8">
        <f>C2*C4*C5</f>
        <v>85.2</v>
      </c>
    </row>
    <row r="9" spans="1:6" ht="18" x14ac:dyDescent="0.35">
      <c r="A9" t="s">
        <v>475</v>
      </c>
      <c r="B9" t="s">
        <v>476</v>
      </c>
      <c r="C9">
        <f>C5*C4</f>
        <v>0.02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B9" sqref="B9"/>
    </sheetView>
  </sheetViews>
  <sheetFormatPr defaultRowHeight="15" x14ac:dyDescent="0.25"/>
  <cols>
    <col min="1" max="1" width="20.28515625" bestFit="1" customWidth="1"/>
    <col min="2" max="2" width="16.85546875" bestFit="1" customWidth="1"/>
  </cols>
  <sheetData>
    <row r="1" spans="1:7" x14ac:dyDescent="0.25">
      <c r="A1" s="11" t="s">
        <v>3</v>
      </c>
      <c r="B1" s="11" t="s">
        <v>431</v>
      </c>
      <c r="C1" s="11" t="s">
        <v>432</v>
      </c>
      <c r="G1" s="11" t="s">
        <v>433</v>
      </c>
    </row>
    <row r="2" spans="1:7" ht="18" x14ac:dyDescent="0.35">
      <c r="A2" t="s">
        <v>477</v>
      </c>
      <c r="B2" t="s">
        <v>478</v>
      </c>
      <c r="C2" s="12">
        <v>12</v>
      </c>
      <c r="G2" s="12" t="s">
        <v>3</v>
      </c>
    </row>
    <row r="3" spans="1:7" ht="18" x14ac:dyDescent="0.35">
      <c r="A3" t="s">
        <v>479</v>
      </c>
      <c r="B3" t="s">
        <v>480</v>
      </c>
      <c r="C3" s="12">
        <v>3.2</v>
      </c>
      <c r="G3" t="s">
        <v>438</v>
      </c>
    </row>
    <row r="4" spans="1:7" ht="18" x14ac:dyDescent="0.35">
      <c r="A4" t="s">
        <v>481</v>
      </c>
      <c r="B4" t="s">
        <v>482</v>
      </c>
      <c r="C4" s="12">
        <v>0.02</v>
      </c>
    </row>
    <row r="6" spans="1:7" ht="18" x14ac:dyDescent="0.35">
      <c r="A6" t="s">
        <v>483</v>
      </c>
      <c r="B6" t="s">
        <v>484</v>
      </c>
      <c r="C6">
        <f>C3/C4</f>
        <v>160</v>
      </c>
    </row>
    <row r="7" spans="1:7" ht="18" x14ac:dyDescent="0.35">
      <c r="A7" t="s">
        <v>485</v>
      </c>
      <c r="B7" t="s">
        <v>486</v>
      </c>
      <c r="C7">
        <f>C4</f>
        <v>0.02</v>
      </c>
    </row>
    <row r="8" spans="1:7" ht="18" x14ac:dyDescent="0.35">
      <c r="A8" t="s">
        <v>487</v>
      </c>
      <c r="B8" t="s">
        <v>488</v>
      </c>
      <c r="C8">
        <f>C2-C3</f>
        <v>8.8000000000000007</v>
      </c>
    </row>
    <row r="9" spans="1:7" x14ac:dyDescent="0.25">
      <c r="A9" t="s">
        <v>489</v>
      </c>
      <c r="B9" t="s">
        <v>490</v>
      </c>
      <c r="C9">
        <f>C8/C7</f>
        <v>440</v>
      </c>
    </row>
    <row r="10" spans="1:7" x14ac:dyDescent="0.25">
      <c r="A10" t="s">
        <v>491</v>
      </c>
      <c r="B10" t="s">
        <v>492</v>
      </c>
      <c r="C10">
        <f>C7*C7*C9</f>
        <v>0.17600000000000002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54A3-CD48-443E-998E-06314C4C62FF}">
  <dimension ref="A1:G7"/>
  <sheetViews>
    <sheetView workbookViewId="0">
      <selection activeCell="L17" sqref="L17"/>
    </sheetView>
  </sheetViews>
  <sheetFormatPr defaultRowHeight="15" x14ac:dyDescent="0.25"/>
  <cols>
    <col min="1" max="1" width="15.42578125" bestFit="1" customWidth="1"/>
    <col min="3" max="3" width="16.28515625" bestFit="1" customWidth="1"/>
  </cols>
  <sheetData>
    <row r="1" spans="1:7" x14ac:dyDescent="0.25">
      <c r="A1" s="11" t="s">
        <v>3</v>
      </c>
      <c r="B1" s="11" t="s">
        <v>431</v>
      </c>
      <c r="C1" s="11" t="s">
        <v>432</v>
      </c>
      <c r="G1" s="11" t="s">
        <v>433</v>
      </c>
    </row>
    <row r="2" spans="1:7" x14ac:dyDescent="0.25">
      <c r="A2" t="s">
        <v>493</v>
      </c>
      <c r="B2" t="s">
        <v>494</v>
      </c>
      <c r="C2" s="12">
        <v>8.4</v>
      </c>
      <c r="G2" s="12" t="s">
        <v>3</v>
      </c>
    </row>
    <row r="3" spans="1:7" x14ac:dyDescent="0.25">
      <c r="A3" t="s">
        <v>495</v>
      </c>
      <c r="B3" t="s">
        <v>496</v>
      </c>
      <c r="C3" s="12">
        <v>2.2999999999999998</v>
      </c>
      <c r="G3" t="s">
        <v>438</v>
      </c>
    </row>
    <row r="4" spans="1:7" x14ac:dyDescent="0.25">
      <c r="A4" t="s">
        <v>497</v>
      </c>
      <c r="B4" t="s">
        <v>498</v>
      </c>
      <c r="C4" s="12">
        <v>3.4</v>
      </c>
    </row>
    <row r="6" spans="1:7" x14ac:dyDescent="0.25">
      <c r="A6" t="s">
        <v>499</v>
      </c>
      <c r="B6" t="s">
        <v>500</v>
      </c>
      <c r="C6">
        <f>C4*C2</f>
        <v>28.56</v>
      </c>
    </row>
    <row r="7" spans="1:7" x14ac:dyDescent="0.25">
      <c r="A7" t="s">
        <v>501</v>
      </c>
      <c r="B7" t="s">
        <v>502</v>
      </c>
      <c r="C7">
        <f>C6/(C3*C2)</f>
        <v>1.4782608695652173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BAB3-D06F-46DB-BF51-64AC84AFCD4D}">
  <dimension ref="A1:C9"/>
  <sheetViews>
    <sheetView workbookViewId="0">
      <selection activeCell="C20" sqref="C20"/>
    </sheetView>
  </sheetViews>
  <sheetFormatPr defaultRowHeight="15" x14ac:dyDescent="0.25"/>
  <cols>
    <col min="1" max="1" width="26.140625" bestFit="1" customWidth="1"/>
  </cols>
  <sheetData>
    <row r="1" spans="1:3" x14ac:dyDescent="0.25">
      <c r="A1" t="s">
        <v>503</v>
      </c>
      <c r="B1" t="s">
        <v>504</v>
      </c>
      <c r="C1">
        <f>((C3+C4)*C2)/C3</f>
        <v>36.299999999999997</v>
      </c>
    </row>
    <row r="2" spans="1:3" x14ac:dyDescent="0.25">
      <c r="A2" t="s">
        <v>505</v>
      </c>
      <c r="B2" t="s">
        <v>506</v>
      </c>
      <c r="C2">
        <v>3.3</v>
      </c>
    </row>
    <row r="3" spans="1:3" x14ac:dyDescent="0.25">
      <c r="A3" t="s">
        <v>507</v>
      </c>
      <c r="B3" t="s">
        <v>508</v>
      </c>
      <c r="C3">
        <v>10</v>
      </c>
    </row>
    <row r="4" spans="1:3" x14ac:dyDescent="0.25">
      <c r="A4" t="s">
        <v>507</v>
      </c>
      <c r="B4" t="s">
        <v>509</v>
      </c>
      <c r="C4">
        <v>100</v>
      </c>
    </row>
    <row r="9" spans="1:3" x14ac:dyDescent="0.25">
      <c r="A9" s="20" t="s">
        <v>510</v>
      </c>
    </row>
  </sheetData>
  <hyperlinks>
    <hyperlink ref="A9" r:id="rId1" xr:uid="{DE2EC371-981F-4252-BA15-E6E2DAD67450}"/>
  </hyperlinks>
  <pageMargins left="0.7" right="0.7" top="0.78740157499999996" bottom="0.78740157499999996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4AEF-286C-42DD-843A-30E91193CE86}">
  <dimension ref="A1:I13"/>
  <sheetViews>
    <sheetView workbookViewId="0">
      <selection activeCell="F22" sqref="F22"/>
    </sheetView>
  </sheetViews>
  <sheetFormatPr defaultRowHeight="15" x14ac:dyDescent="0.25"/>
  <sheetData>
    <row r="1" spans="1:9" x14ac:dyDescent="0.25">
      <c r="C1" t="s">
        <v>511</v>
      </c>
    </row>
    <row r="2" spans="1:9" x14ac:dyDescent="0.25">
      <c r="A2">
        <v>1</v>
      </c>
      <c r="B2">
        <f>4.2*2</f>
        <v>8.4</v>
      </c>
      <c r="C2" s="22">
        <f>140.27*(B2)^5-5364.3*(B2)^4+81876*(B2)^3-623410*(B2)^2+2367900*(B2)-3589400</f>
        <v>328.65556480363011</v>
      </c>
    </row>
    <row r="3" spans="1:9" x14ac:dyDescent="0.25">
      <c r="A3">
        <v>2</v>
      </c>
      <c r="B3">
        <f>4.1*2</f>
        <v>8.1999999999999993</v>
      </c>
      <c r="C3" s="22">
        <f t="shared" ref="C3:C9" si="0">140.27*(B3)^5-5364.3*(B3)^4+81876*(B3)^3-623410*(B3)^2+2367900*(B3)-3589400</f>
        <v>298.17688639834523</v>
      </c>
    </row>
    <row r="4" spans="1:9" x14ac:dyDescent="0.25">
      <c r="A4">
        <v>3</v>
      </c>
      <c r="B4">
        <f>3.8*2</f>
        <v>7.6</v>
      </c>
      <c r="C4" s="22">
        <f t="shared" si="0"/>
        <v>186.74923519045115</v>
      </c>
    </row>
    <row r="5" spans="1:9" x14ac:dyDescent="0.25">
      <c r="A5">
        <v>4</v>
      </c>
      <c r="B5">
        <f>3.75*2</f>
        <v>7.5</v>
      </c>
      <c r="C5" s="22">
        <f t="shared" si="0"/>
        <v>167.3828125</v>
      </c>
    </row>
    <row r="6" spans="1:9" x14ac:dyDescent="0.25">
      <c r="A6">
        <v>5</v>
      </c>
      <c r="B6">
        <f>3.7*2</f>
        <v>7.4</v>
      </c>
      <c r="C6" s="22">
        <f t="shared" si="0"/>
        <v>150.25180479884148</v>
      </c>
    </row>
    <row r="7" spans="1:9" x14ac:dyDescent="0.25">
      <c r="A7">
        <v>6</v>
      </c>
      <c r="B7">
        <f>3.6*2</f>
        <v>7.2</v>
      </c>
      <c r="C7" s="22">
        <f t="shared" si="0"/>
        <v>125.23632640019059</v>
      </c>
    </row>
    <row r="8" spans="1:9" x14ac:dyDescent="0.25">
      <c r="A8">
        <v>7</v>
      </c>
      <c r="B8">
        <f>3.5*2</f>
        <v>7</v>
      </c>
      <c r="C8" s="22">
        <f t="shared" si="0"/>
        <v>111.58999999985099</v>
      </c>
    </row>
    <row r="9" spans="1:9" x14ac:dyDescent="0.25">
      <c r="A9">
        <v>8</v>
      </c>
      <c r="B9">
        <f>3.4*2</f>
        <v>6.8</v>
      </c>
      <c r="C9" s="22">
        <f t="shared" si="0"/>
        <v>97.120153598487377</v>
      </c>
    </row>
    <row r="13" spans="1:9" x14ac:dyDescent="0.25">
      <c r="B13" s="21"/>
      <c r="C13" s="21"/>
      <c r="D13" s="21"/>
      <c r="E13" s="21"/>
      <c r="F13" s="21"/>
      <c r="G13" s="21"/>
      <c r="H13" s="21"/>
      <c r="I13" s="21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0D5E-0ECF-431B-9D55-4A095EE02543}">
  <dimension ref="A1:H10"/>
  <sheetViews>
    <sheetView workbookViewId="0">
      <selection activeCell="H10" sqref="H10"/>
    </sheetView>
  </sheetViews>
  <sheetFormatPr defaultRowHeight="15" x14ac:dyDescent="0.25"/>
  <sheetData>
    <row r="1" spans="1:8" x14ac:dyDescent="0.25">
      <c r="A1" s="31">
        <v>8.4</v>
      </c>
      <c r="B1" s="31">
        <v>8.1999999999999993</v>
      </c>
      <c r="C1" s="31">
        <v>7.6</v>
      </c>
      <c r="D1" s="31">
        <v>7.5</v>
      </c>
      <c r="E1" s="31">
        <v>7.4</v>
      </c>
      <c r="F1" s="31">
        <v>7.2</v>
      </c>
      <c r="G1" s="31">
        <v>7</v>
      </c>
      <c r="H1" s="31">
        <v>6.8</v>
      </c>
    </row>
    <row r="2" spans="1:8" x14ac:dyDescent="0.25">
      <c r="A2">
        <v>5040</v>
      </c>
      <c r="B2">
        <v>4540</v>
      </c>
      <c r="C2">
        <v>1740</v>
      </c>
      <c r="D2">
        <v>990</v>
      </c>
      <c r="E2">
        <v>640</v>
      </c>
      <c r="F2">
        <v>140</v>
      </c>
      <c r="G2">
        <v>65</v>
      </c>
      <c r="H2">
        <v>0</v>
      </c>
    </row>
    <row r="3" spans="1:8" x14ac:dyDescent="0.25">
      <c r="A3">
        <v>100</v>
      </c>
      <c r="B3">
        <v>90.1</v>
      </c>
      <c r="C3">
        <v>34.5</v>
      </c>
      <c r="D3">
        <v>19.600000000000001</v>
      </c>
      <c r="E3">
        <v>12.7</v>
      </c>
      <c r="F3">
        <v>2.8</v>
      </c>
      <c r="G3">
        <v>1.3</v>
      </c>
      <c r="H3">
        <v>0</v>
      </c>
    </row>
    <row r="4" spans="1:8" x14ac:dyDescent="0.25">
      <c r="A4" s="27"/>
      <c r="B4" s="27"/>
      <c r="C4" s="27"/>
      <c r="D4" s="27"/>
      <c r="E4" s="27"/>
      <c r="F4" s="27"/>
      <c r="G4" s="27"/>
      <c r="H4" s="27"/>
    </row>
    <row r="6" spans="1:8" x14ac:dyDescent="0.25">
      <c r="A6" s="31"/>
      <c r="B6" s="31"/>
      <c r="C6" s="31"/>
      <c r="D6" s="31"/>
      <c r="E6" s="31"/>
      <c r="F6" s="31"/>
      <c r="G6" s="31"/>
      <c r="H6" s="31"/>
    </row>
    <row r="7" spans="1:8" x14ac:dyDescent="0.25">
      <c r="A7" s="31"/>
      <c r="B7" s="31"/>
      <c r="C7" s="31"/>
      <c r="D7" s="31"/>
      <c r="E7" s="31"/>
      <c r="F7" s="31"/>
      <c r="G7" s="31"/>
      <c r="H7" s="31"/>
    </row>
    <row r="10" spans="1:8" x14ac:dyDescent="0.25">
      <c r="A10" s="31"/>
      <c r="B10" s="31"/>
      <c r="C10" s="31"/>
      <c r="D10" s="31"/>
      <c r="E10" s="31"/>
      <c r="F10" s="31"/>
      <c r="G10" s="31"/>
      <c r="H10" s="3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Čas</vt:lpstr>
      <vt:lpstr>Součástky</vt:lpstr>
      <vt:lpstr>Finance</vt:lpstr>
      <vt:lpstr>Materiály</vt:lpstr>
      <vt:lpstr>Ohyb</vt:lpstr>
      <vt:lpstr>Step per</vt:lpstr>
      <vt:lpstr>Řezné podmínky</vt:lpstr>
      <vt:lpstr>Odpor</vt:lpstr>
      <vt:lpstr>Výdrž baterie</vt:lpstr>
      <vt:lpstr>Voltmetr</vt:lpstr>
      <vt:lpstr>Křivky</vt:lpstr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Suk</dc:creator>
  <cp:keywords/>
  <dc:description/>
  <cp:lastModifiedBy>Roman Suk</cp:lastModifiedBy>
  <cp:revision/>
  <dcterms:created xsi:type="dcterms:W3CDTF">2006-09-16T00:00:00Z</dcterms:created>
  <dcterms:modified xsi:type="dcterms:W3CDTF">2025-04-22T21:17:37Z</dcterms:modified>
  <cp:category/>
  <cp:contentStatus/>
</cp:coreProperties>
</file>